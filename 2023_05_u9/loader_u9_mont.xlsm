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8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v\basket\2023_05_u9\"/>
    </mc:Choice>
  </mc:AlternateContent>
  <xr:revisionPtr revIDLastSave="0" documentId="13_ncr:1_{410DE5E7-8854-4D2A-94D9-AEE41E78BEBA}" xr6:coauthVersionLast="47" xr6:coauthVersionMax="47" xr10:uidLastSave="{00000000-0000-0000-0000-000000000000}"/>
  <bookViews>
    <workbookView xWindow="0" yWindow="0" windowWidth="14260" windowHeight="21000" activeTab="3" xr2:uid="{00000000-000D-0000-FFFF-FFFF00000000}"/>
  </bookViews>
  <sheets>
    <sheet name="chargement" sheetId="2" r:id="rId1"/>
    <sheet name="tableau.csv" sheetId="144" r:id="rId2"/>
    <sheet name="tableau_split.csv" sheetId="145" r:id="rId3"/>
    <sheet name="f_u9.csv" sheetId="146" r:id="rId4"/>
  </sheets>
  <definedNames>
    <definedName name="f_u9.csv" localSheetId="3">'f_u9.csv'!$A$1:$P$20</definedName>
    <definedName name="tableau.csv" localSheetId="1">tableau.csv!$A$1:$D$17</definedName>
    <definedName name="tableau_split.csv" localSheetId="2">tableau_split.csv!$A$1:$G$17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2" i="146" l="1"/>
  <c r="C12" i="146"/>
  <c r="D12" i="146"/>
  <c r="E12" i="146"/>
  <c r="F12" i="146"/>
  <c r="G12" i="146"/>
  <c r="H12" i="146"/>
  <c r="B13" i="146"/>
  <c r="C13" i="146"/>
  <c r="C19" i="146" s="1"/>
  <c r="D13" i="146"/>
  <c r="E13" i="146"/>
  <c r="F13" i="146"/>
  <c r="G13" i="146"/>
  <c r="G19" i="146" s="1"/>
  <c r="H13" i="146"/>
  <c r="B14" i="146"/>
  <c r="C14" i="146"/>
  <c r="D14" i="146"/>
  <c r="D19" i="146" s="1"/>
  <c r="E14" i="146"/>
  <c r="F14" i="146"/>
  <c r="G14" i="146"/>
  <c r="H14" i="146"/>
  <c r="H19" i="146" s="1"/>
  <c r="H20" i="146" s="1"/>
  <c r="B15" i="146"/>
  <c r="C15" i="146"/>
  <c r="D15" i="146"/>
  <c r="E15" i="146"/>
  <c r="F15" i="146"/>
  <c r="G15" i="146"/>
  <c r="H15" i="146"/>
  <c r="B16" i="146"/>
  <c r="B18" i="146" s="1"/>
  <c r="C16" i="146"/>
  <c r="D16" i="146"/>
  <c r="E16" i="146"/>
  <c r="E18" i="146" s="1"/>
  <c r="F16" i="146"/>
  <c r="F18" i="146" s="1"/>
  <c r="G16" i="146"/>
  <c r="H16" i="146"/>
  <c r="B17" i="146"/>
  <c r="C17" i="146"/>
  <c r="C18" i="146" s="1"/>
  <c r="D17" i="146"/>
  <c r="E17" i="146"/>
  <c r="F17" i="146"/>
  <c r="G17" i="146"/>
  <c r="G18" i="146" s="1"/>
  <c r="H17" i="146"/>
  <c r="D18" i="146"/>
  <c r="H18" i="146"/>
  <c r="B19" i="146"/>
  <c r="E19" i="146"/>
  <c r="E20" i="146" s="1"/>
  <c r="F19" i="146"/>
  <c r="D20" i="146" l="1"/>
  <c r="G20" i="146"/>
  <c r="B20" i="146"/>
  <c r="C20" i="146"/>
  <c r="F20" i="14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134813B-4B9A-4DA3-891D-D0C56E57EF61}" name="2022_05_u9tableau" type="6" refreshedVersion="0" background="1">
    <textPr prompt="0" sourceFile="d:\dev\basket\2022_05_u9tableau.csv" decimal="," thousands=" ">
      <textFields>
        <textField/>
      </textFields>
    </textPr>
  </connection>
  <connection id="2" xr16:uid="{E2EF4EB8-7A9F-4798-9C91-8AEAE8C1C94A}" name="2022_05_u9tableau1" type="6" refreshedVersion="0" background="1">
    <textPr prompt="0" sourceFile="d:\dev\basket\2022_05_u9tableau.csv" decimal="," thousands=" ">
      <textFields>
        <textField/>
      </textFields>
    </textPr>
  </connection>
  <connection id="3" xr16:uid="{422FB3E1-87CA-4D73-A2A4-20BD562D9FDD}" name="f_u7" type="6" refreshedVersion="0" background="1">
    <textPr prompt="0" sourceFile="d:\dev\basket\2022_05_u9\f_u7.csv" decimal="," thousands=" ">
      <textFields>
        <textField/>
      </textFields>
    </textPr>
  </connection>
  <connection id="4" xr16:uid="{8C4544C7-79B6-470B-9C8F-C570A4D7B237}" name="f_u9" type="6" refreshedVersion="0" background="1">
    <textPr prompt="0" sourceFile="d:\dev\basket\2023_05_u9\f_u9.csv" decimal="," thousands=" ">
      <textFields>
        <textField/>
      </textFields>
    </textPr>
  </connection>
  <connection id="5" xr16:uid="{099F2257-58E8-40A1-BE74-79B6A3566077}" name="f_u91" type="6" refreshedVersion="0" background="1">
    <textPr prompt="0" sourceFile="d:\dev\basket\2023_05_u9\f_u9.csv" decimal="," thousands=" ">
      <textFields>
        <textField/>
      </textFields>
    </textPr>
  </connection>
  <connection id="6" xr16:uid="{0D376F41-6987-4AF1-B556-5CF3DF3CDE73}" name="f_u92" type="6" refreshedVersion="7" background="1" saveData="1">
    <textPr prompt="0" codePage="28605" sourceFile="d:\dev\basket\2023_05_u9\f_u9.csv" decimal="," thousands=" 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7" xr16:uid="{9876F1A9-BEF7-4EF4-8B1C-4C9378FEC6AC}" name="tableau" type="6" refreshedVersion="0" background="1">
    <textPr prompt="0" sourceFile="H:\basket\run1\tableau.csv" decimal="," thousands=" ">
      <textFields>
        <textField/>
      </textFields>
    </textPr>
  </connection>
  <connection id="8" xr16:uid="{9D2F7770-A6FF-46E4-A912-09D39ABD7A0F}" name="tableau_split" type="6" refreshedVersion="7" background="1" saveData="1">
    <textPr prompt="0" codePage="28605" sourceFile="d:\dev\basket\2023_05_u9\tableau_split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  <connection id="9" xr16:uid="{3C593F0F-EDB0-4A63-A083-B2F4A5ED6D42}" name="tableau1" type="6" refreshedVersion="7" background="1" saveData="1">
    <textPr prompt="0" codePage="28605" sourceFile="d:\dev\basket\2023_05_u9\tableau.csv" decimal="," thousands=" " tab="0" semicolon="1" qualifier="none">
      <textFields count="9"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<sst xmlns="http://schemas.openxmlformats.org/spreadsheetml/2006/main" count="186" uniqueCount="55">
  <si>
    <t>tableau.csv</t>
  </si>
  <si>
    <t>repertoire ou sont générés les .csv</t>
  </si>
  <si>
    <t>1er fichier à charger</t>
  </si>
  <si>
    <t>2nd</t>
  </si>
  <si>
    <t>...</t>
  </si>
  <si>
    <t>creneau</t>
  </si>
  <si>
    <t>-</t>
  </si>
  <si>
    <t>couleurs par poule</t>
  </si>
  <si>
    <t>chargement de csv tabulés pour formule</t>
  </si>
  <si>
    <t>dernier</t>
  </si>
  <si>
    <t>d:\dev\basket\2022_05_u9</t>
  </si>
  <si>
    <t>pas en u9</t>
  </si>
  <si>
    <t>d:\dev\basket\2023_05_u9\</t>
  </si>
  <si>
    <t>(u17)</t>
  </si>
  <si>
    <t>f_u9.csv</t>
  </si>
  <si>
    <t>bouin1</t>
  </si>
  <si>
    <t>bouin2</t>
  </si>
  <si>
    <t>cug1</t>
  </si>
  <si>
    <t>cug2</t>
  </si>
  <si>
    <t>fro1</t>
  </si>
  <si>
    <t>fro2</t>
  </si>
  <si>
    <t>mont</t>
  </si>
  <si>
    <t>stjo</t>
  </si>
  <si>
    <t>toac</t>
  </si>
  <si>
    <t>X</t>
  </si>
  <si>
    <t>equipe</t>
  </si>
  <si>
    <t>m joues</t>
  </si>
  <si>
    <t>m gagnes</t>
  </si>
  <si>
    <t>m nuls</t>
  </si>
  <si>
    <t>m perdus</t>
  </si>
  <si>
    <t>pts marqu</t>
  </si>
  <si>
    <t>pts encais</t>
  </si>
  <si>
    <t>diff pts</t>
  </si>
  <si>
    <t>score</t>
  </si>
  <si>
    <t>rang</t>
  </si>
  <si>
    <t>fro1 - stjo (u9)</t>
  </si>
  <si>
    <t>cug1 - toac (u9)</t>
  </si>
  <si>
    <t>fro2 - mont (u9)</t>
  </si>
  <si>
    <t>stjo - toac (u9)</t>
  </si>
  <si>
    <t>cug1 - fro2 (u9)</t>
  </si>
  <si>
    <t>fro1 - mont (u9)</t>
  </si>
  <si>
    <t>cug2 - stjo (u9)</t>
  </si>
  <si>
    <t>cug1 - mont (u9)</t>
  </si>
  <si>
    <t>fro1 - toac (u9)</t>
  </si>
  <si>
    <t>cug2 - mont (u9)</t>
  </si>
  <si>
    <t>fro2 - toac (u9)</t>
  </si>
  <si>
    <t>cug1 - stjo (u9)</t>
  </si>
  <si>
    <t>cug2 - fro1 (u9)</t>
  </si>
  <si>
    <t>mont - toac (u9)</t>
  </si>
  <si>
    <t>fro2 - stjo (u9)</t>
  </si>
  <si>
    <t>cug1 - fro1 (u9)</t>
  </si>
  <si>
    <t>cug2 - toac (u9)</t>
  </si>
  <si>
    <t>mont - stjo (u9)</t>
  </si>
  <si>
    <t>cug2 - fro2 (u9)</t>
  </si>
  <si>
    <t>tableau_split.csv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</si>
</sst>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ourier New"/>
      <family val="3"/>
    </font>
  </fonts>
  <fills count="4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4D79B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rgb="FFB1A0C7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18" fillId="0" borderId="0" xfId="0" applyFont="1"/>
    <xf numFmtId="20" fontId="18" fillId="0" borderId="0" xfId="0" applyNumberFormat="1" applyFont="1"/>
    <xf numFmtId="0" fontId="18" fillId="35" borderId="0" xfId="0" applyFont="1" applyFill="1"/>
    <xf numFmtId="0" fontId="18" fillId="33" borderId="0" xfId="0" applyFont="1" applyFill="1"/>
    <xf numFmtId="0" fontId="18" fillId="36" borderId="0" xfId="0" applyFont="1" applyFill="1"/>
    <xf numFmtId="0" fontId="18" fillId="37" borderId="0" xfId="0" applyFont="1" applyFill="1"/>
    <xf numFmtId="0" fontId="18" fillId="41" borderId="0" xfId="0" applyFont="1" applyFill="1"/>
    <xf numFmtId="0" fontId="18" fillId="42" borderId="0" xfId="0" applyFont="1" applyFill="1"/>
    <xf numFmtId="0" fontId="18" fillId="34" borderId="0" xfId="0" applyFont="1" applyFill="1"/>
    <xf numFmtId="0" fontId="18" fillId="0" borderId="0" xfId="0" applyFont="1" applyAlignment="1">
      <alignment horizontal="center"/>
    </xf>
    <xf numFmtId="0" fontId="18" fillId="43" borderId="0" xfId="0" applyFont="1" applyFill="1" applyAlignment="1">
      <alignment horizontal="center"/>
    </xf>
    <xf numFmtId="0" fontId="18" fillId="43" borderId="0" xfId="0" applyFont="1" applyFill="1"/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te" xfId="15" builtinId="10" customBuiltin="1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.csv" connectionId="9" xr16:uid="{E35301FD-2AFB-4D10-A706-CD68C2B268A7}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tableau_split.csv" connectionId="8" xr16:uid="{74C4CCA6-891D-4824-AC76-AE56D953D14C}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f_u9.csv" connectionId="6" xr16:uid="{00E8E79C-BA2F-47A0-9DCD-5FE1B744905F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28"/>
  <sheetViews>
    <sheetView workbookViewId="0">
      <selection activeCell="B3" sqref="B3"/>
    </sheetView>
  </sheetViews>
  <sheetFormatPr baseColWidth="10" defaultColWidth="8.7265625" defaultRowHeight="14.5" x14ac:dyDescent="0.35"/>
  <cols>
    <col min="1" max="1" width="35" customWidth="1"/>
    <col min="2" max="2" width="36.54296875" customWidth="1"/>
  </cols>
  <sheetData>
    <row r="1" spans="1:3" x14ac:dyDescent="0.35">
      <c r="A1" t="s">
        <v>12</v>
      </c>
      <c r="B1" t="s">
        <v>1</v>
      </c>
      <c r="C1" t="s">
        <v>10</v>
      </c>
    </row>
    <row r="2" spans="1:3" x14ac:dyDescent="0.35">
      <c r="A2" t="s">
        <v>0</v>
      </c>
      <c r="B2" t="s">
        <v>2</v>
      </c>
    </row>
    <row r="3" spans="1:3" x14ac:dyDescent="0.35">
      <c r="A3" t="s">
        <v>54</v>
      </c>
      <c r="B3" t="s">
        <v>3</v>
      </c>
    </row>
    <row r="4" spans="1:3" x14ac:dyDescent="0.35">
      <c r="B4" t="s">
        <v>4</v>
      </c>
    </row>
    <row r="9" spans="1:3" x14ac:dyDescent="0.35">
      <c r="B9" t="s">
        <v>9</v>
      </c>
    </row>
    <row r="10" spans="1:3" x14ac:dyDescent="0.35">
      <c r="A10" s="6" t="s">
        <v>17</v>
      </c>
      <c r="B10" t="s">
        <v>7</v>
      </c>
    </row>
    <row r="11" spans="1:3" x14ac:dyDescent="0.35">
      <c r="A11" s="1" t="s">
        <v>18</v>
      </c>
    </row>
    <row r="12" spans="1:3" x14ac:dyDescent="0.35">
      <c r="A12" s="2" t="s">
        <v>19</v>
      </c>
    </row>
    <row r="13" spans="1:3" x14ac:dyDescent="0.35">
      <c r="A13" s="3" t="s">
        <v>20</v>
      </c>
    </row>
    <row r="14" spans="1:3" x14ac:dyDescent="0.35">
      <c r="A14" s="4" t="s">
        <v>23</v>
      </c>
    </row>
    <row r="15" spans="1:3" x14ac:dyDescent="0.35">
      <c r="A15" s="5" t="s">
        <v>22</v>
      </c>
    </row>
    <row r="16" spans="1:3" x14ac:dyDescent="0.35">
      <c r="A16" s="7" t="s">
        <v>21</v>
      </c>
    </row>
    <row r="17" spans="1:3" x14ac:dyDescent="0.35">
      <c r="A17" t="s">
        <v>13</v>
      </c>
    </row>
    <row r="18" spans="1:3" x14ac:dyDescent="0.35">
      <c r="A18" t="s">
        <v>13</v>
      </c>
    </row>
    <row r="20" spans="1:3" x14ac:dyDescent="0.35">
      <c r="A20" t="s">
        <v>14</v>
      </c>
      <c r="B20" t="s">
        <v>8</v>
      </c>
      <c r="C20" t="s">
        <v>11</v>
      </c>
    </row>
    <row r="28" spans="1:3" x14ac:dyDescent="0.35">
      <c r="B28" t="s">
        <v>9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A92D-4BE8-4285-99FA-737BE4808B65}">
  <sheetPr codeName="Feuil1"/>
  <dimension ref="A1:C17"/>
  <sheetViews>
    <sheetView workbookViewId="0">
      <selection activeCell="E10" sqref="E10"/>
    </sheetView>
  </sheetViews>
  <sheetFormatPr baseColWidth="10" defaultRowHeight="14.5" x14ac:dyDescent="0.35"/>
  <cols>
    <col min="1" max="1" width="12.453125" customWidth="1"/>
    <col min="2" max="3" width="20.7265625" customWidth="1"/>
  </cols>
  <sheetData>
    <row r="1" spans="1:3" ht="15" x14ac:dyDescent="0.4">
      <c r="A1" s="8" t="s">
        <v>5</v>
      </c>
      <c r="B1" s="8" t="s">
        <v>15</v>
      </c>
      <c r="C1" s="8" t="s">
        <v>16</v>
      </c>
    </row>
    <row r="2" spans="1:3" ht="15" x14ac:dyDescent="0.4">
      <c r="A2" s="9">
        <v>0.40277777777777773</v>
      </c>
      <c r="B2" s="8" t="s">
        <v>35</v>
      </c>
      <c r="C2" s="8" t="s">
        <v>36</v>
      </c>
    </row>
    <row r="3" spans="1:3" ht="15" x14ac:dyDescent="0.4">
      <c r="A3" s="9">
        <v>0.41666666666666669</v>
      </c>
      <c r="B3" s="8" t="s">
        <v>37</v>
      </c>
      <c r="C3" s="8" t="s">
        <v>6</v>
      </c>
    </row>
    <row r="4" spans="1:3" ht="15" x14ac:dyDescent="0.4">
      <c r="A4" s="9">
        <v>0.43055555555555558</v>
      </c>
      <c r="B4" s="8" t="s">
        <v>38</v>
      </c>
      <c r="C4" s="8" t="s">
        <v>6</v>
      </c>
    </row>
    <row r="5" spans="1:3" ht="15" x14ac:dyDescent="0.4">
      <c r="A5" s="9">
        <v>0.44444444444444442</v>
      </c>
      <c r="B5" s="8" t="s">
        <v>39</v>
      </c>
      <c r="C5" s="8" t="s">
        <v>40</v>
      </c>
    </row>
    <row r="6" spans="1:3" ht="15" x14ac:dyDescent="0.4">
      <c r="A6" s="9">
        <v>0.45833333333333331</v>
      </c>
      <c r="B6" s="8" t="s">
        <v>41</v>
      </c>
      <c r="C6" s="8" t="s">
        <v>6</v>
      </c>
    </row>
    <row r="7" spans="1:3" ht="15" x14ac:dyDescent="0.4">
      <c r="A7" s="9">
        <v>0.47222222222222227</v>
      </c>
      <c r="B7" s="8" t="s">
        <v>42</v>
      </c>
      <c r="C7" s="8" t="s">
        <v>43</v>
      </c>
    </row>
    <row r="8" spans="1:3" ht="15" x14ac:dyDescent="0.4">
      <c r="A8" s="9">
        <v>0.4861111111111111</v>
      </c>
      <c r="B8" s="8" t="s">
        <v>6</v>
      </c>
      <c r="C8" s="8" t="s">
        <v>6</v>
      </c>
    </row>
    <row r="9" spans="1:3" ht="15" x14ac:dyDescent="0.4">
      <c r="A9" s="9">
        <v>0.5</v>
      </c>
      <c r="B9" s="8" t="s">
        <v>6</v>
      </c>
      <c r="C9" s="8" t="s">
        <v>6</v>
      </c>
    </row>
    <row r="10" spans="1:3" ht="15" x14ac:dyDescent="0.4">
      <c r="A10" s="9">
        <v>0.51388888888888895</v>
      </c>
      <c r="B10" s="8" t="s">
        <v>6</v>
      </c>
      <c r="C10" s="8" t="s">
        <v>6</v>
      </c>
    </row>
    <row r="11" spans="1:3" ht="15" x14ac:dyDescent="0.4">
      <c r="A11" s="9">
        <v>0.52777777777777779</v>
      </c>
      <c r="B11" s="8" t="s">
        <v>44</v>
      </c>
      <c r="C11" s="8" t="s">
        <v>45</v>
      </c>
    </row>
    <row r="12" spans="1:3" ht="15" x14ac:dyDescent="0.4">
      <c r="A12" s="9">
        <v>0.54166666666666663</v>
      </c>
      <c r="B12" s="8" t="s">
        <v>46</v>
      </c>
      <c r="C12" s="8" t="s">
        <v>6</v>
      </c>
    </row>
    <row r="13" spans="1:3" ht="15" x14ac:dyDescent="0.4">
      <c r="A13" s="9">
        <v>0.55555555555555558</v>
      </c>
      <c r="B13" s="8" t="s">
        <v>47</v>
      </c>
      <c r="C13" s="8" t="s">
        <v>48</v>
      </c>
    </row>
    <row r="14" spans="1:3" ht="15" x14ac:dyDescent="0.4">
      <c r="A14" s="9">
        <v>0.56944444444444442</v>
      </c>
      <c r="B14" s="8" t="s">
        <v>49</v>
      </c>
      <c r="C14" s="8" t="s">
        <v>6</v>
      </c>
    </row>
    <row r="15" spans="1:3" ht="15" x14ac:dyDescent="0.4">
      <c r="A15" s="9">
        <v>0.58333333333333337</v>
      </c>
      <c r="B15" s="8" t="s">
        <v>50</v>
      </c>
      <c r="C15" s="8" t="s">
        <v>51</v>
      </c>
    </row>
    <row r="16" spans="1:3" ht="15" x14ac:dyDescent="0.4">
      <c r="A16" s="9">
        <v>0.59722222222222221</v>
      </c>
      <c r="B16" s="8" t="s">
        <v>52</v>
      </c>
      <c r="C16" s="8" t="s">
        <v>6</v>
      </c>
    </row>
    <row r="17" spans="1:3" ht="15" x14ac:dyDescent="0.4">
      <c r="A17" s="9">
        <v>0.61111111111111105</v>
      </c>
      <c r="B17" s="8" t="s">
        <v>53</v>
      </c>
      <c r="C17" s="8" t="s">
        <v>6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8E3C5-EF89-4907-9245-08C890645B81}">
  <sheetPr codeName="Feuil2"/>
  <dimension ref="A1:F17"/>
  <sheetViews>
    <sheetView workbookViewId="0">
      <selection activeCell="H10" sqref="H10"/>
    </sheetView>
  </sheetViews>
  <sheetFormatPr baseColWidth="10" defaultRowHeight="14.5" x14ac:dyDescent="0.35"/>
  <cols>
    <col min="1" max="1" width="11.36328125" customWidth="1"/>
    <col min="2" max="3" width="7.90625" customWidth="1"/>
    <col min="4" max="4" width="3.54296875" customWidth="1"/>
    <col min="5" max="6" width="7.90625" customWidth="1"/>
  </cols>
  <sheetData>
    <row r="1" spans="1:6" ht="15" x14ac:dyDescent="0.4">
      <c r="A1" s="8" t="s">
        <v>5</v>
      </c>
      <c r="B1" s="17" t="s">
        <v>15</v>
      </c>
      <c r="C1" s="17"/>
      <c r="D1" s="18"/>
      <c r="E1" s="17" t="s">
        <v>16</v>
      </c>
      <c r="F1" s="17"/>
    </row>
    <row r="2" spans="1:6" ht="15" x14ac:dyDescent="0.4">
      <c r="A2" s="9">
        <v>0.40277777777777773</v>
      </c>
      <c r="B2" s="10" t="s">
        <v>19</v>
      </c>
      <c r="C2" s="15" t="s">
        <v>22</v>
      </c>
      <c r="D2" s="19"/>
      <c r="E2" s="14" t="s">
        <v>17</v>
      </c>
      <c r="F2" s="13" t="s">
        <v>23</v>
      </c>
    </row>
    <row r="3" spans="1:6" ht="15" x14ac:dyDescent="0.4">
      <c r="A3" s="9">
        <v>0.41666666666666669</v>
      </c>
      <c r="B3" s="12" t="s">
        <v>20</v>
      </c>
      <c r="C3" s="11" t="s">
        <v>21</v>
      </c>
      <c r="D3" s="19"/>
      <c r="E3" s="8"/>
      <c r="F3" s="8"/>
    </row>
    <row r="4" spans="1:6" ht="15" x14ac:dyDescent="0.4">
      <c r="A4" s="9">
        <v>0.43055555555555558</v>
      </c>
      <c r="B4" s="15" t="s">
        <v>22</v>
      </c>
      <c r="C4" s="13" t="s">
        <v>23</v>
      </c>
      <c r="D4" s="19"/>
      <c r="E4" s="8"/>
      <c r="F4" s="8"/>
    </row>
    <row r="5" spans="1:6" ht="15" x14ac:dyDescent="0.4">
      <c r="A5" s="9">
        <v>0.44444444444444442</v>
      </c>
      <c r="B5" s="14" t="s">
        <v>17</v>
      </c>
      <c r="C5" s="12" t="s">
        <v>20</v>
      </c>
      <c r="D5" s="19"/>
      <c r="E5" s="10" t="s">
        <v>19</v>
      </c>
      <c r="F5" s="11" t="s">
        <v>21</v>
      </c>
    </row>
    <row r="6" spans="1:6" ht="15" x14ac:dyDescent="0.4">
      <c r="A6" s="9">
        <v>0.45833333333333331</v>
      </c>
      <c r="B6" s="16" t="s">
        <v>18</v>
      </c>
      <c r="C6" s="15" t="s">
        <v>22</v>
      </c>
      <c r="D6" s="19"/>
      <c r="E6" s="8"/>
      <c r="F6" s="8"/>
    </row>
    <row r="7" spans="1:6" ht="15" x14ac:dyDescent="0.4">
      <c r="A7" s="9">
        <v>0.47222222222222227</v>
      </c>
      <c r="B7" s="14" t="s">
        <v>17</v>
      </c>
      <c r="C7" s="11" t="s">
        <v>21</v>
      </c>
      <c r="D7" s="19"/>
      <c r="E7" s="10" t="s">
        <v>19</v>
      </c>
      <c r="F7" s="13" t="s">
        <v>23</v>
      </c>
    </row>
    <row r="8" spans="1:6" ht="15" x14ac:dyDescent="0.4">
      <c r="A8" s="9">
        <v>0.4861111111111111</v>
      </c>
      <c r="B8" s="8"/>
      <c r="C8" s="8"/>
      <c r="D8" s="19"/>
      <c r="E8" s="8"/>
      <c r="F8" s="8"/>
    </row>
    <row r="9" spans="1:6" ht="15" x14ac:dyDescent="0.4">
      <c r="A9" s="9">
        <v>0.5</v>
      </c>
      <c r="B9" s="8"/>
      <c r="C9" s="8"/>
      <c r="D9" s="19"/>
      <c r="E9" s="8"/>
      <c r="F9" s="8"/>
    </row>
    <row r="10" spans="1:6" ht="15" x14ac:dyDescent="0.4">
      <c r="A10" s="9">
        <v>0.51388888888888895</v>
      </c>
      <c r="B10" s="8"/>
      <c r="C10" s="8"/>
      <c r="D10" s="19"/>
      <c r="E10" s="8"/>
      <c r="F10" s="8"/>
    </row>
    <row r="11" spans="1:6" ht="15" x14ac:dyDescent="0.4">
      <c r="A11" s="9">
        <v>0.52777777777777779</v>
      </c>
      <c r="B11" s="16" t="s">
        <v>18</v>
      </c>
      <c r="C11" s="11" t="s">
        <v>21</v>
      </c>
      <c r="D11" s="19"/>
      <c r="E11" s="12" t="s">
        <v>20</v>
      </c>
      <c r="F11" s="13" t="s">
        <v>23</v>
      </c>
    </row>
    <row r="12" spans="1:6" ht="15" x14ac:dyDescent="0.4">
      <c r="A12" s="9">
        <v>0.54166666666666663</v>
      </c>
      <c r="B12" s="14" t="s">
        <v>17</v>
      </c>
      <c r="C12" s="15" t="s">
        <v>22</v>
      </c>
      <c r="D12" s="19"/>
      <c r="E12" s="8"/>
      <c r="F12" s="8"/>
    </row>
    <row r="13" spans="1:6" ht="15" x14ac:dyDescent="0.4">
      <c r="A13" s="9">
        <v>0.55555555555555558</v>
      </c>
      <c r="B13" s="16" t="s">
        <v>18</v>
      </c>
      <c r="C13" s="10" t="s">
        <v>19</v>
      </c>
      <c r="D13" s="19"/>
      <c r="E13" s="11" t="s">
        <v>21</v>
      </c>
      <c r="F13" s="13" t="s">
        <v>23</v>
      </c>
    </row>
    <row r="14" spans="1:6" ht="15" x14ac:dyDescent="0.4">
      <c r="A14" s="9">
        <v>0.56944444444444442</v>
      </c>
      <c r="B14" s="12" t="s">
        <v>20</v>
      </c>
      <c r="C14" s="15" t="s">
        <v>22</v>
      </c>
      <c r="D14" s="19"/>
      <c r="E14" s="8"/>
      <c r="F14" s="8"/>
    </row>
    <row r="15" spans="1:6" ht="15" x14ac:dyDescent="0.4">
      <c r="A15" s="9">
        <v>0.58333333333333337</v>
      </c>
      <c r="B15" s="14" t="s">
        <v>17</v>
      </c>
      <c r="C15" s="10" t="s">
        <v>19</v>
      </c>
      <c r="D15" s="19"/>
      <c r="E15" s="16" t="s">
        <v>18</v>
      </c>
      <c r="F15" s="13" t="s">
        <v>23</v>
      </c>
    </row>
    <row r="16" spans="1:6" ht="15" x14ac:dyDescent="0.4">
      <c r="A16" s="9">
        <v>0.59722222222222221</v>
      </c>
      <c r="B16" s="11" t="s">
        <v>21</v>
      </c>
      <c r="C16" s="15" t="s">
        <v>22</v>
      </c>
      <c r="D16" s="19"/>
      <c r="E16" s="8"/>
      <c r="F16" s="8"/>
    </row>
    <row r="17" spans="1:6" ht="15" x14ac:dyDescent="0.4">
      <c r="A17" s="9">
        <v>0.61111111111111105</v>
      </c>
      <c r="B17" s="16" t="s">
        <v>18</v>
      </c>
      <c r="C17" s="12" t="s">
        <v>20</v>
      </c>
      <c r="D17" s="19"/>
      <c r="E17" s="8"/>
      <c r="F17" s="8"/>
    </row>
  </sheetData>
  <mergeCells count="2">
    <mergeCell ref="B1:C1"/>
    <mergeCell ref="E1:F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72826-E2DD-4C12-ADA8-E49B3847436B}">
  <sheetPr codeName="Feuil3"/>
  <dimension ref="A1:O20"/>
  <sheetViews>
    <sheetView tabSelected="1" workbookViewId="0">
      <selection activeCell="O21" sqref="O21"/>
    </sheetView>
  </sheetViews>
  <sheetFormatPr baseColWidth="10" defaultRowHeight="14.5" x14ac:dyDescent="0.35"/>
  <cols>
    <col min="1" max="1" width="9.36328125" bestFit="1" customWidth="1"/>
    <col min="2" max="15" width="6.26953125" customWidth="1"/>
  </cols>
  <sheetData>
    <row r="1" spans="1:15" x14ac:dyDescent="0.35">
      <c r="C1" t="s">
        <v>17</v>
      </c>
      <c r="E1" t="s">
        <v>18</v>
      </c>
      <c r="G1" t="s">
        <v>19</v>
      </c>
      <c r="I1" t="s">
        <v>20</v>
      </c>
      <c r="K1" t="s">
        <v>21</v>
      </c>
      <c r="M1" t="s">
        <v>22</v>
      </c>
      <c r="O1" t="s">
        <v>23</v>
      </c>
    </row>
    <row r="2" spans="1:15" x14ac:dyDescent="0.35">
      <c r="A2" t="s">
        <v>17</v>
      </c>
      <c r="B2" t="s">
        <v>24</v>
      </c>
      <c r="C2" t="s">
        <v>24</v>
      </c>
    </row>
    <row r="3" spans="1:15" x14ac:dyDescent="0.35">
      <c r="A3" t="s">
        <v>18</v>
      </c>
      <c r="B3" t="s">
        <v>24</v>
      </c>
      <c r="C3" t="s">
        <v>24</v>
      </c>
      <c r="D3" t="s">
        <v>24</v>
      </c>
      <c r="E3" t="s">
        <v>24</v>
      </c>
    </row>
    <row r="4" spans="1:15" x14ac:dyDescent="0.35">
      <c r="A4" t="s">
        <v>19</v>
      </c>
      <c r="B4" t="s">
        <v>24</v>
      </c>
      <c r="C4" t="s">
        <v>24</v>
      </c>
      <c r="D4" t="s">
        <v>24</v>
      </c>
      <c r="E4" t="s">
        <v>24</v>
      </c>
      <c r="F4" t="s">
        <v>24</v>
      </c>
      <c r="G4" t="s">
        <v>24</v>
      </c>
    </row>
    <row r="5" spans="1:15" x14ac:dyDescent="0.35">
      <c r="A5" t="s">
        <v>20</v>
      </c>
      <c r="B5" t="s">
        <v>24</v>
      </c>
      <c r="C5" t="s">
        <v>24</v>
      </c>
      <c r="D5" t="s">
        <v>24</v>
      </c>
      <c r="E5" t="s">
        <v>24</v>
      </c>
      <c r="F5" t="s">
        <v>24</v>
      </c>
      <c r="G5" t="s">
        <v>24</v>
      </c>
      <c r="H5" t="s">
        <v>24</v>
      </c>
      <c r="I5" t="s">
        <v>24</v>
      </c>
    </row>
    <row r="6" spans="1:15" x14ac:dyDescent="0.35">
      <c r="A6" t="s">
        <v>21</v>
      </c>
      <c r="B6" t="s">
        <v>24</v>
      </c>
      <c r="C6" t="s">
        <v>24</v>
      </c>
      <c r="D6" t="s">
        <v>24</v>
      </c>
      <c r="E6" t="s">
        <v>24</v>
      </c>
      <c r="F6" t="s">
        <v>24</v>
      </c>
      <c r="G6" t="s">
        <v>24</v>
      </c>
      <c r="H6" t="s">
        <v>24</v>
      </c>
      <c r="I6" t="s">
        <v>24</v>
      </c>
      <c r="J6" t="s">
        <v>24</v>
      </c>
      <c r="K6" t="s">
        <v>24</v>
      </c>
    </row>
    <row r="7" spans="1:15" x14ac:dyDescent="0.35">
      <c r="A7" t="s">
        <v>22</v>
      </c>
      <c r="B7" t="s">
        <v>24</v>
      </c>
      <c r="C7" t="s">
        <v>24</v>
      </c>
      <c r="D7" t="s">
        <v>24</v>
      </c>
      <c r="E7" t="s">
        <v>24</v>
      </c>
      <c r="F7" t="s">
        <v>24</v>
      </c>
      <c r="G7" t="s">
        <v>24</v>
      </c>
      <c r="H7" t="s">
        <v>24</v>
      </c>
      <c r="I7" t="s">
        <v>24</v>
      </c>
      <c r="J7" t="s">
        <v>24</v>
      </c>
      <c r="K7" t="s">
        <v>24</v>
      </c>
      <c r="L7" t="s">
        <v>24</v>
      </c>
      <c r="M7" t="s">
        <v>24</v>
      </c>
    </row>
    <row r="8" spans="1:15" x14ac:dyDescent="0.35">
      <c r="A8" t="s">
        <v>23</v>
      </c>
      <c r="B8" t="s">
        <v>24</v>
      </c>
      <c r="C8" t="s">
        <v>24</v>
      </c>
      <c r="D8" t="s">
        <v>24</v>
      </c>
      <c r="E8" t="s">
        <v>24</v>
      </c>
      <c r="F8" t="s">
        <v>24</v>
      </c>
      <c r="G8" t="s">
        <v>24</v>
      </c>
      <c r="H8" t="s">
        <v>24</v>
      </c>
      <c r="I8" t="s">
        <v>24</v>
      </c>
      <c r="J8" t="s">
        <v>24</v>
      </c>
      <c r="K8" t="s">
        <v>24</v>
      </c>
      <c r="L8" t="s">
        <v>24</v>
      </c>
      <c r="M8" t="s">
        <v>24</v>
      </c>
      <c r="N8" t="s">
        <v>24</v>
      </c>
      <c r="O8" t="s">
        <v>24</v>
      </c>
    </row>
    <row r="11" spans="1:15" x14ac:dyDescent="0.35">
      <c r="A11" t="s">
        <v>25</v>
      </c>
      <c r="B11" t="s">
        <v>17</v>
      </c>
      <c r="C11" t="s">
        <v>18</v>
      </c>
      <c r="D11" t="s">
        <v>19</v>
      </c>
      <c r="E11" t="s">
        <v>20</v>
      </c>
      <c r="F11" t="s">
        <v>21</v>
      </c>
      <c r="G11" t="s">
        <v>22</v>
      </c>
      <c r="H11" t="s">
        <v>23</v>
      </c>
    </row>
    <row r="12" spans="1:15" x14ac:dyDescent="0.35">
      <c r="A12" t="s">
        <v>26</v>
      </c>
      <c r="B12">
        <f xml:space="preserve"> 0 + IF(D2="",0,1)+ IF(F2="",0,1)+ IF(H2="",0,1)+ IF(J2="",0,1)+ IF(L2="",0,1)+ IF(N2="",0,1)</f>
        <v>0</v>
      </c>
      <c r="C12">
        <f xml:space="preserve"> 0 + IF(F3="",0,1)+ IF(H3="",0,1)+ IF(J3="",0,1)+ IF(L3="",0,1)+ IF(N3="",0,1)+ IF(E2="",0,1)</f>
        <v>0</v>
      </c>
      <c r="D12">
        <f xml:space="preserve"> 0 + IF(H4="",0,1)+ IF(J4="",0,1)+ IF(L4="",0,1)+ IF(N4="",0,1)+ IF(G2="",0,1)+ IF(G3="",0,1)</f>
        <v>0</v>
      </c>
      <c r="E12">
        <f xml:space="preserve"> 0 + IF(J5="",0,1)+ IF(L5="",0,1)+ IF(N5="",0,1)+ IF(I2="",0,1)+ IF(I3="",0,1)+ IF(I4="",0,1)</f>
        <v>0</v>
      </c>
      <c r="F12">
        <f xml:space="preserve"> 0 + IF(L6="",0,1)+ IF(N6="",0,1)+ IF(K2="",0,1)+ IF(K3="",0,1)+ IF(K4="",0,1)+ IF(K5="",0,1)</f>
        <v>0</v>
      </c>
      <c r="G12">
        <f xml:space="preserve"> 0 + IF(N7="",0,1)+ IF(M2="",0,1)+ IF(M3="",0,1)+ IF(M4="",0,1)+ IF(M5="",0,1)+ IF(M6="",0,1)</f>
        <v>0</v>
      </c>
      <c r="H12">
        <f xml:space="preserve"> 0 + IF(O2="",0,1)+ IF(O3="",0,1)+ IF(O4="",0,1)+ IF(O5="",0,1)+ IF(O6="",0,1)+ IF(O7="",0,1)</f>
        <v>0</v>
      </c>
    </row>
    <row r="13" spans="1:15" x14ac:dyDescent="0.35">
      <c r="A13" t="s">
        <v>27</v>
      </c>
      <c r="B13">
        <f xml:space="preserve"> 0 + IF(D2&gt;E2,1,0)+ IF(F2&gt;G2,1,0)+ IF(H2&gt;I2,1,0)+ IF(J2&gt;K2,1,0)+ IF(L2&gt;M2,1,0)+ IF(N2&gt;O2,1,0)</f>
        <v>0</v>
      </c>
      <c r="C13">
        <f xml:space="preserve"> 0 + IF(F3&gt;G3,1,0)+ IF(H3&gt;I3,1,0)+ IF(J3&gt;K3,1,0)+ IF(L3&gt;M3,1,0)+ IF(N3&gt;O3,1,0)+ IF(E2&gt;D2,1,0)</f>
        <v>0</v>
      </c>
      <c r="D13">
        <f xml:space="preserve"> 0 + IF(H4&gt;I4,1,0)+ IF(J4&gt;K4,1,0)+ IF(L4&gt;M4,1,0)+ IF(N4&gt;O4,1,0)+ IF(G2&gt;F2,1,0)+ IF(G3&gt;F3,1,0)</f>
        <v>0</v>
      </c>
      <c r="E13">
        <f xml:space="preserve"> 0 + IF(J5&gt;K5,1,0)+ IF(L5&gt;M5,1,0)+ IF(N5&gt;O5,1,0)+ IF(I2&gt;H2,1,0)+ IF(I3&gt;H3,1,0)+ IF(I4&gt;H4,1,0)</f>
        <v>0</v>
      </c>
      <c r="F13">
        <f xml:space="preserve"> 0 + IF(L6&gt;M6,1,0)+ IF(N6&gt;O6,1,0)+ IF(K2&gt;J2,1,0)+ IF(K3&gt;J3,1,0)+ IF(K4&gt;J4,1,0)+ IF(K5&gt;J5,1,0)</f>
        <v>0</v>
      </c>
      <c r="G13">
        <f xml:space="preserve"> 0 + IF(N7&gt;O7,1,0)+ IF(M2&gt;L2,1,0)+ IF(M3&gt;L3,1,0)+ IF(M4&gt;L4,1,0)+ IF(M5&gt;L5,1,0)+ IF(M6&gt;L6,1,0)</f>
        <v>0</v>
      </c>
      <c r="H13">
        <f xml:space="preserve"> 0 + IF(O2&gt;N2,1,0)+ IF(O3&gt;N3,1,0)+ IF(O4&gt;N4,1,0)+ IF(O5&gt;N5,1,0)+ IF(O6&gt;N6,1,0)+ IF(O7&gt;N7,1,0)</f>
        <v>0</v>
      </c>
    </row>
    <row r="14" spans="1:15" x14ac:dyDescent="0.35">
      <c r="A14" t="s">
        <v>28</v>
      </c>
      <c r="B14">
        <f xml:space="preserve"> 0 + IF(D2="",0,1)*IF(D2=E2,1,0)+ IF(F2="",0,1)*IF(F2=G2,1,0)+ IF(H2="",0,1)*IF(H2=I2,1,0)+ IF(J2="",0,1)*IF(J2=K2,1,0)+ IF(L2="",0,1)*IF(L2=M2,1,0)+ IF(N2="",0,1)*IF(N2=O2,1,0)</f>
        <v>0</v>
      </c>
      <c r="C14">
        <f xml:space="preserve"> 0 + IF(F3="",0,1)*IF(F3=G3,1,0)+ IF(H3="",0,1)*IF(H3=I3,1,0)+ IF(J3="",0,1)*IF(J3=K3,1,0)+ IF(L3="",0,1)*IF(L3=M3,1,0)+ IF(N3="",0,1)*IF(N3=O3,1,0)+ IF(E2="",0,1)*IF(E2=D2,1,0)</f>
        <v>0</v>
      </c>
      <c r="D14">
        <f xml:space="preserve"> 0 + IF(H4="",0,1)*IF(H4=I4,1,0)+ IF(J4="",0,1)*IF(J4=K4,1,0)+ IF(L4="",0,1)*IF(L4=M4,1,0)+ IF(N4="",0,1)*IF(N4=O4,1,0)+ IF(G2="",0,1)*IF(G2=F2,1,0)+ IF(G3="",0,1)*IF(G3=F3,1,0)</f>
        <v>0</v>
      </c>
      <c r="E14">
        <f xml:space="preserve"> 0 + IF(J5="",0,1)*IF(J5=K5,1,0)+ IF(L5="",0,1)*IF(L5=M5,1,0)+ IF(N5="",0,1)*IF(N5=O5,1,0)+ IF(I2="",0,1)*IF(I2=H2,1,0)+ IF(I3="",0,1)*IF(I3=H3,1,0)+ IF(I4="",0,1)*IF(I4=H4,1,0)</f>
        <v>0</v>
      </c>
      <c r="F14">
        <f xml:space="preserve"> 0 + IF(L6="",0,1)*IF(L6=M6,1,0)+ IF(N6="",0,1)*IF(N6=O6,1,0)+ IF(K2="",0,1)*IF(K2=J2,1,0)+ IF(K3="",0,1)*IF(K3=J3,1,0)+ IF(K4="",0,1)*IF(K4=J4,1,0)+ IF(K5="",0,1)*IF(K5=J5,1,0)</f>
        <v>0</v>
      </c>
      <c r="G14">
        <f xml:space="preserve"> 0 + IF(N7="",0,1)*IF(N7=O7,1,0)+ IF(M2="",0,1)*IF(M2=L2,1,0)+ IF(M3="",0,1)*IF(M3=L3,1,0)+ IF(M4="",0,1)*IF(M4=L4,1,0)+ IF(M5="",0,1)*IF(M5=L5,1,0)+ IF(M6="",0,1)*IF(M6=L6,1,0)</f>
        <v>0</v>
      </c>
      <c r="H14">
        <f xml:space="preserve"> 0 + IF(O2="",0,1)*IF(O2=N2,1,0)+ IF(O3="",0,1)*IF(O3=N3,1,0)+ IF(O4="",0,1)*IF(O4=N4,1,0)+ IF(O5="",0,1)*IF(O5=N5,1,0)+ IF(O6="",0,1)*IF(O6=N6,1,0)+ IF(O7="",0,1)*IF(O7=N7,1,0)</f>
        <v>0</v>
      </c>
    </row>
    <row r="15" spans="1:15" x14ac:dyDescent="0.35">
      <c r="A15" t="s">
        <v>29</v>
      </c>
      <c r="B15">
        <f xml:space="preserve"> 0 + IF(D2&lt;E2,1,0)+ IF(F2&lt;G2,1,0)+ IF(H2&lt;I2,1,0)+ IF(J2&lt;K2,1,0)+ IF(L2&lt;M2,1,0)+ IF(N2&lt;O2,1,0)</f>
        <v>0</v>
      </c>
      <c r="C15">
        <f xml:space="preserve"> 0 + IF(F3&lt;G3,1,0)+ IF(H3&lt;I3,1,0)+ IF(J3&lt;K3,1,0)+ IF(L3&lt;M3,1,0)+ IF(N3&lt;O3,1,0)+ IF(E2&lt;D2,1,0)</f>
        <v>0</v>
      </c>
      <c r="D15">
        <f xml:space="preserve"> 0 + IF(H4&lt;I4,1,0)+ IF(J4&lt;K4,1,0)+ IF(L4&lt;M4,1,0)+ IF(N4&lt;O4,1,0)+ IF(G2&lt;F2,1,0)+ IF(G3&lt;F3,1,0)</f>
        <v>0</v>
      </c>
      <c r="E15">
        <f xml:space="preserve"> 0 + IF(J5&lt;K5,1,0)+ IF(L5&lt;M5,1,0)+ IF(N5&lt;O5,1,0)+ IF(I2&lt;H2,1,0)+ IF(I3&lt;H3,1,0)+ IF(I4&lt;H4,1,0)</f>
        <v>0</v>
      </c>
      <c r="F15">
        <f xml:space="preserve"> 0 + IF(L6&lt;M6,1,0)+ IF(N6&lt;O6,1,0)+ IF(K2&lt;J2,1,0)+ IF(K3&lt;J3,1,0)+ IF(K4&lt;J4,1,0)+ IF(K5&lt;J5,1,0)</f>
        <v>0</v>
      </c>
      <c r="G15">
        <f xml:space="preserve"> 0 + IF(N7&lt;O7,1,0)+ IF(M2&lt;L2,1,0)+ IF(M3&lt;L3,1,0)+ IF(M4&lt;L4,1,0)+ IF(M5&lt;L5,1,0)+ IF(M6&lt;L6,1,0)</f>
        <v>0</v>
      </c>
      <c r="H15">
        <f xml:space="preserve"> 0 + IF(O2&lt;N2,1,0)+ IF(O3&lt;N3,1,0)+ IF(O4&lt;N4,1,0)+ IF(O5&lt;N5,1,0)+ IF(O6&lt;N6,1,0)+ IF(O7&lt;N7,1,0)</f>
        <v>0</v>
      </c>
    </row>
    <row r="16" spans="1:15" x14ac:dyDescent="0.35">
      <c r="A16" t="s">
        <v>30</v>
      </c>
      <c r="B16">
        <f xml:space="preserve"> 0 + IF(D2="",0,D2)+ IF(F2="",0,F2)+ IF(H2="",0,H2)+ IF(J2="",0,J2)+ IF(L2="",0,L2)+ IF(N2="",0,N2)</f>
        <v>0</v>
      </c>
      <c r="C16">
        <f xml:space="preserve"> 0 + IF(F3="",0,F3)+ IF(H3="",0,H3)+ IF(J3="",0,J3)+ IF(L3="",0,L3)+ IF(N3="",0,N3)+ IF(E2="",0,E2)</f>
        <v>0</v>
      </c>
      <c r="D16">
        <f xml:space="preserve"> 0 + IF(H4="",0,H4)+ IF(J4="",0,J4)+ IF(L4="",0,L4)+ IF(N4="",0,N4)+ IF(G2="",0,G2)+ IF(G3="",0,G3)</f>
        <v>0</v>
      </c>
      <c r="E16">
        <f xml:space="preserve"> 0 + IF(J5="",0,J5)+ IF(L5="",0,L5)+ IF(N5="",0,N5)+ IF(I2="",0,I2)+ IF(I3="",0,I3)+ IF(I4="",0,I4)</f>
        <v>0</v>
      </c>
      <c r="F16">
        <f xml:space="preserve"> 0 + IF(L6="",0,L6)+ IF(N6="",0,N6)+ IF(K2="",0,K2)+ IF(K3="",0,K3)+ IF(K4="",0,K4)+ IF(K5="",0,K5)</f>
        <v>0</v>
      </c>
      <c r="G16">
        <f xml:space="preserve"> 0 + IF(N7="",0,N7)+ IF(M2="",0,M2)+ IF(M3="",0,M3)+ IF(M4="",0,M4)+ IF(M5="",0,M5)+ IF(M6="",0,M6)</f>
        <v>0</v>
      </c>
      <c r="H16">
        <f xml:space="preserve"> 0 + IF(O2="",0,O2)+ IF(O3="",0,O3)+ IF(O4="",0,O4)+ IF(O5="",0,O5)+ IF(O6="",0,O6)+ IF(O7="",0,O7)</f>
        <v>0</v>
      </c>
    </row>
    <row r="17" spans="1:8" x14ac:dyDescent="0.35">
      <c r="A17" t="s">
        <v>31</v>
      </c>
      <c r="B17">
        <f xml:space="preserve"> 0 + IF(E2="",0,E2)+ IF(G2="",0,G2)+ IF(I2="",0,I2)+ IF(K2="",0,K2)+ IF(M2="",0,M2)+ IF(O2="",0,O2)</f>
        <v>0</v>
      </c>
      <c r="C17">
        <f xml:space="preserve"> 0 + IF(G3="",0,G3)+ IF(I3="",0,I3)+ IF(K3="",0,K3)+ IF(M3="",0,M3)+ IF(O3="",0,O3)+ IF(D2="",0,D2)</f>
        <v>0</v>
      </c>
      <c r="D17">
        <f xml:space="preserve"> 0 + IF(I4="",0,I4)+ IF(K4="",0,K4)+ IF(M4="",0,M4)+ IF(O4="",0,O4)+ IF(F2="",0,F2)+ IF(F3="",0,F3)</f>
        <v>0</v>
      </c>
      <c r="E17">
        <f xml:space="preserve"> 0 + IF(K5="",0,K5)+ IF(M5="",0,M5)+ IF(O5="",0,O5)+ IF(H2="",0,H2)+ IF(H3="",0,H3)+ IF(H4="",0,H4)</f>
        <v>0</v>
      </c>
      <c r="F17">
        <f xml:space="preserve"> 0 + IF(M6="",0,M6)+ IF(O6="",0,O6)+ IF(J2="",0,J2)+ IF(J3="",0,J3)+ IF(J4="",0,J4)+ IF(J5="",0,J5)</f>
        <v>0</v>
      </c>
      <c r="G17">
        <f xml:space="preserve"> 0 + IF(O7="",0,O7)+ IF(L2="",0,L2)+ IF(L3="",0,L3)+ IF(L4="",0,L4)+ IF(L5="",0,L5)+ IF(L6="",0,L6)</f>
        <v>0</v>
      </c>
      <c r="H17">
        <f xml:space="preserve"> 0 + IF(N2="",0,N2)+ IF(N3="",0,N3)+ IF(N4="",0,N4)+ IF(N5="",0,N5)+ IF(N6="",0,N6)+ IF(N7="",0,N7)</f>
        <v>0</v>
      </c>
    </row>
    <row r="18" spans="1:8" x14ac:dyDescent="0.35">
      <c r="A18" t="s">
        <v>32</v>
      </c>
      <c r="B18">
        <f>B16-B17</f>
        <v>0</v>
      </c>
      <c r="C18">
        <f>C16-C17</f>
        <v>0</v>
      </c>
      <c r="D18">
        <f>D16-D17</f>
        <v>0</v>
      </c>
      <c r="E18">
        <f>E16-E17</f>
        <v>0</v>
      </c>
      <c r="F18">
        <f>F16-F17</f>
        <v>0</v>
      </c>
      <c r="G18">
        <f>G16-G17</f>
        <v>0</v>
      </c>
      <c r="H18">
        <f>H16-H17</f>
        <v>0</v>
      </c>
    </row>
    <row r="19" spans="1:8" x14ac:dyDescent="0.35">
      <c r="A19" t="s">
        <v>33</v>
      </c>
      <c r="B19">
        <f>4*B13+2*B14+B15</f>
        <v>0</v>
      </c>
      <c r="C19">
        <f>4*C13+2*C14+C15</f>
        <v>0</v>
      </c>
      <c r="D19">
        <f>4*D13+2*D14+D15</f>
        <v>0</v>
      </c>
      <c r="E19">
        <f>4*E13+2*E14+E15</f>
        <v>0</v>
      </c>
      <c r="F19">
        <f>4*F13+2*F14+F15</f>
        <v>0</v>
      </c>
      <c r="G19">
        <f>4*G13+2*G14+G15</f>
        <v>0</v>
      </c>
      <c r="H19">
        <f>4*H13+2*H14+H15</f>
        <v>0</v>
      </c>
    </row>
    <row r="20" spans="1:8" x14ac:dyDescent="0.35">
      <c r="A20" t="s">
        <v>34</v>
      </c>
      <c r="B20">
        <f>RANK(B19,B19:H19,0)</f>
        <v>1</v>
      </c>
      <c r="C20">
        <f>RANK(C19,B19:H19,0)</f>
        <v>1</v>
      </c>
      <c r="D20">
        <f>RANK(D19,B19:H19,0)</f>
        <v>1</v>
      </c>
      <c r="E20">
        <f>RANK(E19,B19:H19,0)</f>
        <v>1</v>
      </c>
      <c r="F20">
        <f>RANK(F19,B19:H19,0)</f>
        <v>1</v>
      </c>
      <c r="G20">
        <f>RANK(G19,B19:H19,0)</f>
        <v>1</v>
      </c>
      <c r="H20">
        <f>RANK(H19,B19:H19,0)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3</vt:i4>
      </vt:variant>
    </vt:vector>
  </HeadingPairs>
  <TitlesOfParts>
    <vt:vector size="7" baseType="lpstr">
      <vt:lpstr>chargement</vt:lpstr>
      <vt:lpstr>tableau.csv</vt:lpstr>
      <vt:lpstr>tableau_split.csv</vt:lpstr>
      <vt:lpstr>f_u9.csv</vt:lpstr>
      <vt:lpstr>f_u9.csv!f_u9.csv</vt:lpstr>
      <vt:lpstr>tableau.csv!tableau.csv</vt:lpstr>
      <vt:lpstr>tableau_split.csv!tableau_split.csv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jj</dc:creator>
  <cp:lastModifiedBy>jj</cp:lastModifiedBy>
  <dcterms:created xsi:type="dcterms:W3CDTF">2019-06-05T22:30:10Z</dcterms:created>
  <dcterms:modified xsi:type="dcterms:W3CDTF">2023-05-18T18:47:19Z</dcterms:modified>
</cp:coreProperties>
</file>