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60" windowWidth="38340" windowHeight="17590" activeTab="1"/>
  </bookViews>
  <sheets>
    <sheet name="chargement" sheetId="2" r:id="rId1"/>
    <sheet name="tableau.csv" sheetId="105" r:id="rId2"/>
    <sheet name="tableau2.csv" sheetId="106" r:id="rId3"/>
    <sheet name="tableau4.csv" sheetId="107" r:id="rId4"/>
    <sheet name="f_u9.csv" sheetId="108" r:id="rId5"/>
    <sheet name="f_u11f.csv" sheetId="109" r:id="rId6"/>
    <sheet name="f_u11m1.csv" sheetId="110" r:id="rId7"/>
    <sheet name="f_u11m2.csv" sheetId="111" r:id="rId8"/>
  </sheets>
  <definedNames>
    <definedName name="f_u11f.csv" localSheetId="5">f_u11f.csv!$A$1:$P$20</definedName>
    <definedName name="f_u11m1.csv" localSheetId="6">f_u11m1.csv!$A$1:$R$21</definedName>
    <definedName name="f_u11m2.csv" localSheetId="7">f_u11m2.csv!$A$1:$R$21</definedName>
    <definedName name="f_u9.csv" localSheetId="4">f_u9.csv!$A$1:$R$21</definedName>
    <definedName name="tableau.csv" localSheetId="1">tableau.csv!$A$1:$I$17</definedName>
    <definedName name="tableau2.csv" localSheetId="2">tableau2.csv!$A$1:$I$33</definedName>
    <definedName name="tableau4.csv" localSheetId="3">tableau4.csv!$A$1:$I$65</definedName>
  </definedNames>
  <calcPr calcId="145621"/>
</workbook>
</file>

<file path=xl/calcChain.xml><?xml version="1.0" encoding="utf-8"?>
<calcChain xmlns="http://schemas.openxmlformats.org/spreadsheetml/2006/main">
  <c r="B13" i="111" l="1"/>
  <c r="C13" i="111"/>
  <c r="D13" i="111"/>
  <c r="E13" i="111"/>
  <c r="F13" i="111"/>
  <c r="G13" i="111"/>
  <c r="H13" i="111"/>
  <c r="I13" i="111"/>
  <c r="B14" i="111"/>
  <c r="C14" i="111"/>
  <c r="D14" i="111"/>
  <c r="E14" i="111"/>
  <c r="F14" i="111"/>
  <c r="G14" i="111"/>
  <c r="H14" i="111"/>
  <c r="I14" i="111"/>
  <c r="B15" i="111"/>
  <c r="C15" i="111"/>
  <c r="D15" i="111"/>
  <c r="E15" i="111"/>
  <c r="F15" i="111"/>
  <c r="F20" i="111" s="1"/>
  <c r="G15" i="111"/>
  <c r="G20" i="111" s="1"/>
  <c r="H15" i="111"/>
  <c r="H20" i="111" s="1"/>
  <c r="I15" i="111"/>
  <c r="I20" i="111" s="1"/>
  <c r="I21" i="111" s="1"/>
  <c r="B16" i="111"/>
  <c r="C16" i="111"/>
  <c r="D16" i="111"/>
  <c r="E16" i="111"/>
  <c r="F16" i="111"/>
  <c r="G16" i="111"/>
  <c r="H16" i="111"/>
  <c r="I16" i="111"/>
  <c r="B17" i="111"/>
  <c r="B19" i="111" s="1"/>
  <c r="C17" i="111"/>
  <c r="C19" i="111" s="1"/>
  <c r="D17" i="111"/>
  <c r="D19" i="111" s="1"/>
  <c r="E17" i="111"/>
  <c r="E19" i="111" s="1"/>
  <c r="F17" i="111"/>
  <c r="G17" i="111"/>
  <c r="H17" i="111"/>
  <c r="I17" i="111"/>
  <c r="B18" i="111"/>
  <c r="C18" i="111"/>
  <c r="D18" i="111"/>
  <c r="E18" i="111"/>
  <c r="F18" i="111"/>
  <c r="F19" i="111" s="1"/>
  <c r="G18" i="111"/>
  <c r="G19" i="111" s="1"/>
  <c r="H18" i="111"/>
  <c r="H19" i="111" s="1"/>
  <c r="I18" i="111"/>
  <c r="I19" i="111" s="1"/>
  <c r="B20" i="111"/>
  <c r="C20" i="111"/>
  <c r="D20" i="111"/>
  <c r="E20" i="111"/>
  <c r="B13" i="110"/>
  <c r="C13" i="110"/>
  <c r="D13" i="110"/>
  <c r="E13" i="110"/>
  <c r="F13" i="110"/>
  <c r="G13" i="110"/>
  <c r="H13" i="110"/>
  <c r="I13" i="110"/>
  <c r="B14" i="110"/>
  <c r="C14" i="110"/>
  <c r="D14" i="110"/>
  <c r="E14" i="110"/>
  <c r="F14" i="110"/>
  <c r="G14" i="110"/>
  <c r="H14" i="110"/>
  <c r="I14" i="110"/>
  <c r="B15" i="110"/>
  <c r="C15" i="110"/>
  <c r="D15" i="110"/>
  <c r="E15" i="110"/>
  <c r="F15" i="110"/>
  <c r="F20" i="110" s="1"/>
  <c r="G15" i="110"/>
  <c r="G20" i="110" s="1"/>
  <c r="H15" i="110"/>
  <c r="H20" i="110" s="1"/>
  <c r="I15" i="110"/>
  <c r="I20" i="110" s="1"/>
  <c r="I21" i="110" s="1"/>
  <c r="B16" i="110"/>
  <c r="C16" i="110"/>
  <c r="D16" i="110"/>
  <c r="E16" i="110"/>
  <c r="F16" i="110"/>
  <c r="G16" i="110"/>
  <c r="H16" i="110"/>
  <c r="I16" i="110"/>
  <c r="B17" i="110"/>
  <c r="B19" i="110" s="1"/>
  <c r="C17" i="110"/>
  <c r="C19" i="110" s="1"/>
  <c r="D17" i="110"/>
  <c r="D19" i="110" s="1"/>
  <c r="E17" i="110"/>
  <c r="E19" i="110" s="1"/>
  <c r="F17" i="110"/>
  <c r="G17" i="110"/>
  <c r="H17" i="110"/>
  <c r="I17" i="110"/>
  <c r="B18" i="110"/>
  <c r="C18" i="110"/>
  <c r="D18" i="110"/>
  <c r="E18" i="110"/>
  <c r="F18" i="110"/>
  <c r="F19" i="110" s="1"/>
  <c r="G18" i="110"/>
  <c r="G19" i="110" s="1"/>
  <c r="H18" i="110"/>
  <c r="H19" i="110" s="1"/>
  <c r="I18" i="110"/>
  <c r="I19" i="110" s="1"/>
  <c r="B20" i="110"/>
  <c r="C20" i="110"/>
  <c r="D20" i="110"/>
  <c r="E20" i="110"/>
  <c r="B12" i="109"/>
  <c r="C12" i="109"/>
  <c r="D12" i="109"/>
  <c r="E12" i="109"/>
  <c r="F12" i="109"/>
  <c r="G12" i="109"/>
  <c r="H12" i="109"/>
  <c r="B13" i="109"/>
  <c r="B19" i="109" s="1"/>
  <c r="C13" i="109"/>
  <c r="C19" i="109" s="1"/>
  <c r="D13" i="109"/>
  <c r="D19" i="109" s="1"/>
  <c r="E13" i="109"/>
  <c r="E19" i="109" s="1"/>
  <c r="F13" i="109"/>
  <c r="F19" i="109" s="1"/>
  <c r="F20" i="109" s="1"/>
  <c r="G13" i="109"/>
  <c r="H13" i="109"/>
  <c r="B14" i="109"/>
  <c r="C14" i="109"/>
  <c r="D14" i="109"/>
  <c r="E14" i="109"/>
  <c r="F14" i="109"/>
  <c r="G14" i="109"/>
  <c r="G19" i="109" s="1"/>
  <c r="H14" i="109"/>
  <c r="H19" i="109" s="1"/>
  <c r="B15" i="109"/>
  <c r="C15" i="109"/>
  <c r="D15" i="109"/>
  <c r="E15" i="109"/>
  <c r="F15" i="109"/>
  <c r="G15" i="109"/>
  <c r="H15" i="109"/>
  <c r="B16" i="109"/>
  <c r="C16" i="109"/>
  <c r="D16" i="109"/>
  <c r="E16" i="109"/>
  <c r="F16" i="109"/>
  <c r="G16" i="109"/>
  <c r="H16" i="109"/>
  <c r="H18" i="109" s="1"/>
  <c r="B17" i="109"/>
  <c r="B18" i="109" s="1"/>
  <c r="C17" i="109"/>
  <c r="D17" i="109"/>
  <c r="E17" i="109"/>
  <c r="F17" i="109"/>
  <c r="G17" i="109"/>
  <c r="H17" i="109"/>
  <c r="C18" i="109"/>
  <c r="D18" i="109"/>
  <c r="E18" i="109"/>
  <c r="F18" i="109"/>
  <c r="G18" i="109"/>
  <c r="B13" i="108"/>
  <c r="C13" i="108"/>
  <c r="D13" i="108"/>
  <c r="E13" i="108"/>
  <c r="F13" i="108"/>
  <c r="G13" i="108"/>
  <c r="H13" i="108"/>
  <c r="I13" i="108"/>
  <c r="B14" i="108"/>
  <c r="C14" i="108"/>
  <c r="D14" i="108"/>
  <c r="E14" i="108"/>
  <c r="F14" i="108"/>
  <c r="G14" i="108"/>
  <c r="H14" i="108"/>
  <c r="I14" i="108"/>
  <c r="B15" i="108"/>
  <c r="C15" i="108"/>
  <c r="D15" i="108"/>
  <c r="E15" i="108"/>
  <c r="F15" i="108"/>
  <c r="F20" i="108" s="1"/>
  <c r="G15" i="108"/>
  <c r="G20" i="108" s="1"/>
  <c r="H15" i="108"/>
  <c r="H20" i="108" s="1"/>
  <c r="I15" i="108"/>
  <c r="I20" i="108" s="1"/>
  <c r="I21" i="108" s="1"/>
  <c r="B16" i="108"/>
  <c r="C16" i="108"/>
  <c r="D16" i="108"/>
  <c r="E16" i="108"/>
  <c r="F16" i="108"/>
  <c r="G16" i="108"/>
  <c r="H16" i="108"/>
  <c r="I16" i="108"/>
  <c r="B17" i="108"/>
  <c r="B19" i="108" s="1"/>
  <c r="C17" i="108"/>
  <c r="C19" i="108" s="1"/>
  <c r="D17" i="108"/>
  <c r="D19" i="108" s="1"/>
  <c r="E17" i="108"/>
  <c r="E19" i="108" s="1"/>
  <c r="F17" i="108"/>
  <c r="G17" i="108"/>
  <c r="H17" i="108"/>
  <c r="I17" i="108"/>
  <c r="B18" i="108"/>
  <c r="C18" i="108"/>
  <c r="D18" i="108"/>
  <c r="E18" i="108"/>
  <c r="F18" i="108"/>
  <c r="F19" i="108" s="1"/>
  <c r="G18" i="108"/>
  <c r="G19" i="108" s="1"/>
  <c r="H18" i="108"/>
  <c r="H19" i="108" s="1"/>
  <c r="I18" i="108"/>
  <c r="I19" i="108" s="1"/>
  <c r="B20" i="108"/>
  <c r="C20" i="108"/>
  <c r="D20" i="108"/>
  <c r="E20" i="108"/>
  <c r="H21" i="111" l="1"/>
  <c r="G21" i="111"/>
  <c r="F21" i="111"/>
  <c r="E21" i="111"/>
  <c r="D21" i="111"/>
  <c r="C21" i="111"/>
  <c r="B21" i="111"/>
  <c r="G21" i="110"/>
  <c r="F21" i="110"/>
  <c r="E21" i="110"/>
  <c r="D21" i="110"/>
  <c r="C21" i="110"/>
  <c r="H21" i="110"/>
  <c r="B21" i="110"/>
  <c r="E20" i="109"/>
  <c r="D20" i="109"/>
  <c r="H20" i="109"/>
  <c r="C20" i="109"/>
  <c r="G20" i="109"/>
  <c r="B20" i="109"/>
  <c r="H21" i="108"/>
  <c r="G21" i="108"/>
  <c r="F21" i="108"/>
  <c r="E21" i="108"/>
  <c r="D21" i="108"/>
  <c r="C21" i="108"/>
  <c r="B21" i="108"/>
</calcChain>
</file>

<file path=xl/connections.xml><?xml version="1.0" encoding="utf-8"?>
<connections xmlns="http://schemas.openxmlformats.org/spreadsheetml/2006/main">
  <connection id="1" name="f_u11f" type="6" refreshedVersion="4" background="1" saveData="1">
    <textPr prompt="0" codePage="28605" sourceFile="H:\basket\run1\f_u11f.csv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f_u11m1" type="6" refreshedVersion="4" background="1" saveData="1">
    <textPr prompt="0" codePage="28605" sourceFile="H:\basket\run1\f_u11m1.csv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f_u11m2" type="6" refreshedVersion="4" background="1" saveData="1">
    <textPr prompt="0" codePage="28605" sourceFile="H:\basket\run1\f_u11m2.csv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f_u9" type="6" refreshedVersion="4" background="1" saveData="1">
    <textPr prompt="0" codePage="28605" sourceFile="H:\basket\run1\f_u9.csv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name="tableau" type="6" refreshedVersion="4" background="1" saveData="1">
    <textPr prompt="0" codePage="28605" sourceFile="H:\basket\run1\tableau.csv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name="tableau2" type="6" refreshedVersion="4" background="1" saveData="1">
    <textPr prompt="0" codePage="28605" sourceFile="H:\basket\run1\tableau2.csv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tableau4" type="6" refreshedVersion="4" background="1" saveData="1">
    <textPr prompt="0" codePage="28605" sourceFile="H:\basket\run1\tableau4.csv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<sst xmlns="http://schemas.openxmlformats.org/spreadsheetml/2006/main" count="786" uniqueCount="167">
  <si>
    <t>tableau.csv</t>
  </si>
  <si>
    <t>tableau2.csv</t>
  </si>
  <si>
    <t>tableau4.csv</t>
  </si>
  <si>
    <t>H:\cyg64\home\jj\dev\basket\run1\</t>
  </si>
  <si>
    <t>repertoire ou sont générés les .csv</t>
  </si>
  <si>
    <t>1er fichier à charger</t>
  </si>
  <si>
    <t>2nd</t>
  </si>
  <si>
    <t>...</t>
  </si>
  <si>
    <t>H:\basket\run1\</t>
  </si>
  <si>
    <t>creneau</t>
  </si>
  <si>
    <t>bouin</t>
  </si>
  <si>
    <t>roure</t>
  </si>
  <si>
    <t>ext1</t>
  </si>
  <si>
    <t>ext2</t>
  </si>
  <si>
    <t>ext3</t>
  </si>
  <si>
    <t>ext4</t>
  </si>
  <si>
    <t>cugnaux1 - laloubere1 (u11f)</t>
  </si>
  <si>
    <t>auterive - cugnaux4 (u9)</t>
  </si>
  <si>
    <t>cornebarieu2 - cugnaux1 (u11m2)</t>
  </si>
  <si>
    <t>blagnac1 - cugnaux2 (u9)</t>
  </si>
  <si>
    <t>aiguevives - blgnc_mixte_2 (u11m2)</t>
  </si>
  <si>
    <t>cugnaux3 - laloubere2 (u11f)</t>
  </si>
  <si>
    <t>cugnaux5 - tcms1 (u11m2)</t>
  </si>
  <si>
    <t>blagnac2 - cugnaux1 (u9)</t>
  </si>
  <si>
    <t>cugnaux2 - labarthe (u11f)</t>
  </si>
  <si>
    <t>cornebarieu2 - vacquiers (u11m2)</t>
  </si>
  <si>
    <t>cugnaux2 - cugnaux3 (u9)</t>
  </si>
  <si>
    <t>blgnc_mixte_2 - cugnaux3 (u11m2)</t>
  </si>
  <si>
    <t>auterive - blagnac1 (u9)</t>
  </si>
  <si>
    <t>blagnac2 - cugnaux4 (u9)</t>
  </si>
  <si>
    <t>leguevin - st_jory (u11m1)</t>
  </si>
  <si>
    <t>labarthe - laloubere1 (u11f)</t>
  </si>
  <si>
    <t>cugnaux1 - laloubere2 (u11f)</t>
  </si>
  <si>
    <t>aiguevives - cugnaux5 (u11m2)</t>
  </si>
  <si>
    <t>blagnac - cugnaux3 (u11f)</t>
  </si>
  <si>
    <t>cugnaux1 - tcms1 (u11m2)</t>
  </si>
  <si>
    <t>blgnc_mixte_2 - cornebarieu2 (u11m2)</t>
  </si>
  <si>
    <t>cugnaux3 - cugnaux4 (u9)</t>
  </si>
  <si>
    <t>cugnaux3 - tcms1 (u11m2)</t>
  </si>
  <si>
    <t>auterive - cugnaux2 (u9)</t>
  </si>
  <si>
    <t>blagnac1 - cugnaux1 (u9)</t>
  </si>
  <si>
    <t>cugnaux2 - cugnaux3 (u11f)</t>
  </si>
  <si>
    <t>aiguevives - cugnaux1 (u11m2)</t>
  </si>
  <si>
    <t>blagnac2 - leguevin (u9)</t>
  </si>
  <si>
    <t>laloubere1 - laloubere2 (u11f)</t>
  </si>
  <si>
    <t>cornebarieu1 - st_jory (u11m1)</t>
  </si>
  <si>
    <t>cornebarieu2 - cugnaux5 (u11m2)</t>
  </si>
  <si>
    <t>auterive - cugnaux3 (u9)</t>
  </si>
  <si>
    <t>blgnc_mixte_2 - tcms1 (u11m2)</t>
  </si>
  <si>
    <t>blagnac1 - leguevin (u9)</t>
  </si>
  <si>
    <t>cugnaux1 - cugnaux4 (u9)</t>
  </si>
  <si>
    <t>cugnaux2 - laloubere1 (u11f)</t>
  </si>
  <si>
    <t>blagnac - cugnaux1 (u11f)</t>
  </si>
  <si>
    <t>aiguevives - vacquiers (u11m2)</t>
  </si>
  <si>
    <t>blagnac2 - cugnaux2 (u9)</t>
  </si>
  <si>
    <t>cugnaux3 - labarthe (u11f)</t>
  </si>
  <si>
    <t>cornebarieu1 - leguevin (u11m1)</t>
  </si>
  <si>
    <t>blgnc_mixte_2 - cugnaux1 (u11m2)</t>
  </si>
  <si>
    <t>cornebarieu2 - tcms1 (u11m2)</t>
  </si>
  <si>
    <t>cugnaux3 - cugnaux5 (u11m2)</t>
  </si>
  <si>
    <t>cugnaux4 - leguevin (u9)</t>
  </si>
  <si>
    <t>cugnaux1 - cugnaux2 (u9)</t>
  </si>
  <si>
    <t>aiguevives - tcms1 (u11m2)</t>
  </si>
  <si>
    <t>cugnaux1 - cugnaux2 (u11f)</t>
  </si>
  <si>
    <t>auterive - blagnac2 (u9)</t>
  </si>
  <si>
    <t>cugnaux5 - vacquiers (u11m2)</t>
  </si>
  <si>
    <t>blagnac1 - cugnaux3 (u9)</t>
  </si>
  <si>
    <t>cugnaux3 - laloubere1 (u11f)</t>
  </si>
  <si>
    <t>cornebarieu2 - cugnaux3 (u11m2)</t>
  </si>
  <si>
    <t>cugnaux1 - cugnaux5 (u11m2)</t>
  </si>
  <si>
    <t>cugnaux2 - leguevin (u9)</t>
  </si>
  <si>
    <t>auterive - cugnaux1 (u9)</t>
  </si>
  <si>
    <t>cugnaux3 - vacquiers (u11m2)</t>
  </si>
  <si>
    <t>blagnac - cugnaux2 (u11f)</t>
  </si>
  <si>
    <t>blagnac1 - cugnaux4 (u9)</t>
  </si>
  <si>
    <t>aiguevives - cornebarieu2 (u11m2)</t>
  </si>
  <si>
    <t>blagnac2 - cugnaux3 (u9)</t>
  </si>
  <si>
    <t>cugnaux1 - labarthe (u11f)</t>
  </si>
  <si>
    <t>blagnac - labarthe (u11f)</t>
  </si>
  <si>
    <t>auterive - leguevin (u9)</t>
  </si>
  <si>
    <t>blgnc_mixte_2 - cugnaux5 (u11m2)</t>
  </si>
  <si>
    <t>-</t>
  </si>
  <si>
    <t>cugnaux1 - vacquiers (u11m2)</t>
  </si>
  <si>
    <t>blagnac - laloubere1 (u11f)</t>
  </si>
  <si>
    <t>aiguevives - cugnaux3 (u11m2)</t>
  </si>
  <si>
    <t>cugnaux2 - laloubere2 (u11f)</t>
  </si>
  <si>
    <t>cugnaux1 - cugnaux3 (u9)</t>
  </si>
  <si>
    <t>cugnaux1 - cugnaux3 (u11f)</t>
  </si>
  <si>
    <t>blagnac - laloubere2 (u11f)</t>
  </si>
  <si>
    <t>blagnac1 - blagnac2 (u9)</t>
  </si>
  <si>
    <t>blgnc_mixte_2 - vacquiers (u11m2)</t>
  </si>
  <si>
    <t>cugnaux2 - cugnaux4 (u9)</t>
  </si>
  <si>
    <t>cugnaux3 - leguevin (u9)</t>
  </si>
  <si>
    <t>tcms1 - vacquiers (u11m2)</t>
  </si>
  <si>
    <t>labarthe - laloubere2 (u11f)</t>
  </si>
  <si>
    <t>cugnaux1 - cugnaux3 (u11m2)</t>
  </si>
  <si>
    <t>cugnaux1 - leguevin (u9)</t>
  </si>
  <si>
    <t>ext5</t>
  </si>
  <si>
    <t>(u9)</t>
  </si>
  <si>
    <t>(u11m1)</t>
  </si>
  <si>
    <t>(u11m2)</t>
  </si>
  <si>
    <t>(u11f)</t>
  </si>
  <si>
    <t>cornebarieu1 - cugnaux6 (u11m1)</t>
  </si>
  <si>
    <t>blagnac1 - cugnaux2 (u11m1)</t>
  </si>
  <si>
    <t>st_jory - tcms2 (u11m1)</t>
  </si>
  <si>
    <t>blagnac1 - leguevin (u11m1)</t>
  </si>
  <si>
    <t>cugnaux2 - cugnaux4 (u11m1)</t>
  </si>
  <si>
    <t>cugnaux2 - st_jory (u11m1)</t>
  </si>
  <si>
    <t>cugnaux6 - tcms2 (u11m1)</t>
  </si>
  <si>
    <t>cornebarieu1 - cugnaux4 (u11m1)</t>
  </si>
  <si>
    <t>blagnac1 - st_jory (u11m1)</t>
  </si>
  <si>
    <t>cugnaux2 - leguevin (u11m1)</t>
  </si>
  <si>
    <t>cugnaux2 - tcms2 (u11m1)</t>
  </si>
  <si>
    <t>cugnaux4 - cugnaux6 (u11m1)</t>
  </si>
  <si>
    <t>cornebarieu1 - tcms2 (u11m1)</t>
  </si>
  <si>
    <t>cugnaux4 - leguevin (u11m1)</t>
  </si>
  <si>
    <t>cugnaux6 - st_jory (u11m1)</t>
  </si>
  <si>
    <t>cornebarieu1 - cugnaux2 (u11m1)</t>
  </si>
  <si>
    <t>leguevin - tcms2 (u11m1)</t>
  </si>
  <si>
    <t>cugnaux4 - st_jory (u11m1)</t>
  </si>
  <si>
    <t>blagnac1 - cugnaux6 (u11m1)</t>
  </si>
  <si>
    <t>blagnac1 - tcms2 (u11m1)</t>
  </si>
  <si>
    <t>cugnaux6 - leguevin (u11m1)</t>
  </si>
  <si>
    <t>cugnaux4 - tcms2 (u11m1)</t>
  </si>
  <si>
    <t>blagnac1 - cornebarieu1 (u11m1)</t>
  </si>
  <si>
    <t>cugnaux2 - cugnaux6 (u11m1)</t>
  </si>
  <si>
    <t>blagnac1 - cugnaux4 (u11m1)</t>
  </si>
  <si>
    <t>f_u9.csv</t>
  </si>
  <si>
    <t>f_u11f.csv</t>
  </si>
  <si>
    <t>f_u11m1.csv</t>
  </si>
  <si>
    <t>f_u11m2.csv</t>
  </si>
  <si>
    <t>auterive</t>
  </si>
  <si>
    <t>blagnac1</t>
  </si>
  <si>
    <t>blagnac2</t>
  </si>
  <si>
    <t>cugnaux1</t>
  </si>
  <si>
    <t>cugnaux2</t>
  </si>
  <si>
    <t>cugnaux3</t>
  </si>
  <si>
    <t>cugnaux4</t>
  </si>
  <si>
    <t>leguevin</t>
  </si>
  <si>
    <t>X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</si>
  <si>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</si>
  <si>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</si>
  <si>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</si>
  <si>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</si>
  <si>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</si>
  <si>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</si>
  <si>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</si>
  <si>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</si>
  <si>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</si>
  <si>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</si>
  <si>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blagnac</t>
  </si>
  <si>
    <t>labarthe</t>
  </si>
  <si>
    <t>laloubere1</t>
  </si>
  <si>
    <t>laloubere2</t>
  </si>
  <si>
    <t>cornebarieu1</t>
  </si>
  <si>
    <t>cugnaux6</t>
  </si>
  <si>
    <t>st_jory</t>
  </si>
  <si>
    <t>tcms2</t>
  </si>
  <si>
    <t>aiguevives</t>
  </si>
  <si>
    <t>blgnc_mixte_2</t>
  </si>
  <si>
    <t>cornebarieu2</t>
  </si>
  <si>
    <t>cugnaux5</t>
  </si>
  <si>
    <t>tcms1</t>
  </si>
  <si>
    <t>vacquiers</t>
  </si>
  <si>
    <t>couleurs par poule</t>
  </si>
  <si>
    <t>chargement de csv tabulés pour formule</t>
  </si>
  <si>
    <t>dernier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</si>
</sst>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C0D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20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tableau.csv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ableau2.csv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ableau4.csv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f_u9.csv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_u11f.csv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_u11m1.csv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_u11m2.csv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9"/>
  <sheetViews>
    <sheetView workbookViewId="0">
      <selection activeCell="B17" sqref="B17"/>
    </sheetView>
  </sheetViews>
  <sheetFormatPr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8</v>
      </c>
      <c r="B1" t="s">
        <v>4</v>
      </c>
      <c r="C1" t="s">
        <v>3</v>
      </c>
    </row>
    <row r="2" spans="1:3" x14ac:dyDescent="0.35">
      <c r="A2" t="s">
        <v>0</v>
      </c>
      <c r="B2" t="s">
        <v>5</v>
      </c>
    </row>
    <row r="3" spans="1:3" x14ac:dyDescent="0.35">
      <c r="A3" t="s">
        <v>1</v>
      </c>
      <c r="B3" t="s">
        <v>6</v>
      </c>
    </row>
    <row r="4" spans="1:3" x14ac:dyDescent="0.35">
      <c r="A4" t="s">
        <v>2</v>
      </c>
      <c r="B4" t="s">
        <v>7</v>
      </c>
    </row>
    <row r="9" spans="1:3" x14ac:dyDescent="0.35">
      <c r="B9" t="s">
        <v>166</v>
      </c>
    </row>
    <row r="10" spans="1:3" x14ac:dyDescent="0.35">
      <c r="A10" s="2" t="s">
        <v>98</v>
      </c>
      <c r="B10" t="s">
        <v>164</v>
      </c>
    </row>
    <row r="11" spans="1:3" x14ac:dyDescent="0.35">
      <c r="A11" s="3" t="s">
        <v>99</v>
      </c>
    </row>
    <row r="12" spans="1:3" x14ac:dyDescent="0.35">
      <c r="A12" s="4" t="s">
        <v>100</v>
      </c>
    </row>
    <row r="13" spans="1:3" x14ac:dyDescent="0.35">
      <c r="A13" s="5" t="s">
        <v>101</v>
      </c>
    </row>
    <row r="20" spans="1:2" x14ac:dyDescent="0.35">
      <c r="A20" t="s">
        <v>127</v>
      </c>
      <c r="B20" t="s">
        <v>165</v>
      </c>
    </row>
    <row r="21" spans="1:2" x14ac:dyDescent="0.35">
      <c r="A21" t="s">
        <v>128</v>
      </c>
    </row>
    <row r="22" spans="1:2" x14ac:dyDescent="0.35">
      <c r="A22" t="s">
        <v>129</v>
      </c>
    </row>
    <row r="23" spans="1:2" x14ac:dyDescent="0.35">
      <c r="A23" t="s">
        <v>130</v>
      </c>
    </row>
    <row r="29" spans="1:2" x14ac:dyDescent="0.35">
      <c r="B29" t="s">
        <v>166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tabSelected="1" topLeftCell="D1" workbookViewId="0"/>
  </sheetViews>
  <sheetFormatPr defaultRowHeight="14.5" x14ac:dyDescent="0.35"/>
  <cols>
    <col min="1" max="1" width="7.54296875" bestFit="1" customWidth="1"/>
    <col min="2" max="2" width="30.81640625" bestFit="1" customWidth="1"/>
    <col min="3" max="3" width="29.26953125" bestFit="1" customWidth="1"/>
    <col min="4" max="4" width="33.453125" bestFit="1" customWidth="1"/>
    <col min="5" max="5" width="29.26953125" bestFit="1" customWidth="1"/>
    <col min="6" max="7" width="30.1796875" bestFit="1" customWidth="1"/>
    <col min="8" max="8" width="22.26953125" bestFit="1" customWidth="1"/>
  </cols>
  <sheetData>
    <row r="1" spans="1:8" x14ac:dyDescent="0.3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97</v>
      </c>
    </row>
    <row r="2" spans="1:8" x14ac:dyDescent="0.35">
      <c r="A2" s="1">
        <v>0.40277777777777773</v>
      </c>
      <c r="B2" s="8" t="s">
        <v>75</v>
      </c>
      <c r="C2" s="9" t="s">
        <v>34</v>
      </c>
      <c r="D2" s="7" t="s">
        <v>121</v>
      </c>
      <c r="E2" s="9" t="s">
        <v>32</v>
      </c>
      <c r="F2" s="9" t="s">
        <v>31</v>
      </c>
      <c r="G2" s="7" t="s">
        <v>45</v>
      </c>
      <c r="H2" s="6" t="s">
        <v>28</v>
      </c>
    </row>
    <row r="3" spans="1:8" x14ac:dyDescent="0.35">
      <c r="A3" s="1">
        <v>0.41666666666666669</v>
      </c>
      <c r="B3" s="7" t="s">
        <v>125</v>
      </c>
      <c r="C3" s="8" t="s">
        <v>35</v>
      </c>
      <c r="D3" s="7" t="s">
        <v>123</v>
      </c>
      <c r="E3" s="8" t="s">
        <v>72</v>
      </c>
      <c r="F3" s="8" t="s">
        <v>80</v>
      </c>
      <c r="G3" s="6" t="s">
        <v>29</v>
      </c>
      <c r="H3" s="6" t="s">
        <v>26</v>
      </c>
    </row>
    <row r="4" spans="1:8" x14ac:dyDescent="0.35">
      <c r="A4" s="1">
        <v>0.43055555555555558</v>
      </c>
      <c r="B4" s="7" t="s">
        <v>126</v>
      </c>
      <c r="C4" s="9" t="s">
        <v>67</v>
      </c>
      <c r="D4" s="7" t="s">
        <v>114</v>
      </c>
      <c r="E4" s="9" t="s">
        <v>52</v>
      </c>
      <c r="F4" s="9" t="s">
        <v>85</v>
      </c>
      <c r="G4" s="6" t="s">
        <v>49</v>
      </c>
      <c r="H4" s="6" t="s">
        <v>71</v>
      </c>
    </row>
    <row r="5" spans="1:8" x14ac:dyDescent="0.35">
      <c r="A5" s="1">
        <v>0.44444444444444442</v>
      </c>
      <c r="B5" s="7" t="s">
        <v>124</v>
      </c>
      <c r="C5" s="8" t="s">
        <v>53</v>
      </c>
      <c r="D5" s="7" t="s">
        <v>111</v>
      </c>
      <c r="E5" s="8" t="s">
        <v>69</v>
      </c>
      <c r="F5" s="8" t="s">
        <v>58</v>
      </c>
      <c r="G5" s="8" t="s">
        <v>27</v>
      </c>
      <c r="H5" s="6" t="s">
        <v>54</v>
      </c>
    </row>
    <row r="6" spans="1:8" x14ac:dyDescent="0.35">
      <c r="A6" s="1">
        <v>0.45833333333333331</v>
      </c>
      <c r="B6" s="7" t="s">
        <v>56</v>
      </c>
      <c r="C6" s="9" t="s">
        <v>16</v>
      </c>
      <c r="D6" s="7" t="s">
        <v>119</v>
      </c>
      <c r="E6" s="9" t="s">
        <v>88</v>
      </c>
      <c r="F6" s="7" t="s">
        <v>120</v>
      </c>
      <c r="G6" s="6" t="s">
        <v>40</v>
      </c>
      <c r="H6" s="6" t="s">
        <v>47</v>
      </c>
    </row>
    <row r="7" spans="1:8" x14ac:dyDescent="0.35">
      <c r="A7" s="1">
        <v>0.47222222222222227</v>
      </c>
      <c r="B7" s="8" t="s">
        <v>57</v>
      </c>
      <c r="C7" s="8" t="s">
        <v>68</v>
      </c>
      <c r="D7" s="8" t="s">
        <v>33</v>
      </c>
      <c r="E7" s="8" t="s">
        <v>93</v>
      </c>
      <c r="F7" s="6" t="s">
        <v>91</v>
      </c>
      <c r="G7" s="6" t="s">
        <v>66</v>
      </c>
      <c r="H7" s="6" t="s">
        <v>43</v>
      </c>
    </row>
    <row r="8" spans="1:8" x14ac:dyDescent="0.35">
      <c r="A8" s="1">
        <v>0.4861111111111111</v>
      </c>
      <c r="B8" s="7" t="s">
        <v>104</v>
      </c>
      <c r="C8" s="9" t="s">
        <v>87</v>
      </c>
      <c r="D8" s="7" t="s">
        <v>113</v>
      </c>
      <c r="E8" s="7" t="s">
        <v>117</v>
      </c>
      <c r="F8" s="9" t="s">
        <v>94</v>
      </c>
      <c r="G8" s="9" t="s">
        <v>73</v>
      </c>
      <c r="H8" s="6" t="s">
        <v>23</v>
      </c>
    </row>
    <row r="9" spans="1:8" x14ac:dyDescent="0.35">
      <c r="A9" s="1">
        <v>0.5</v>
      </c>
      <c r="B9" s="8" t="s">
        <v>59</v>
      </c>
      <c r="C9" s="7" t="s">
        <v>30</v>
      </c>
      <c r="D9" s="8" t="s">
        <v>36</v>
      </c>
      <c r="E9" s="8" t="s">
        <v>42</v>
      </c>
      <c r="F9" s="6" t="s">
        <v>19</v>
      </c>
      <c r="G9" s="6" t="s">
        <v>60</v>
      </c>
      <c r="H9" s="6" t="s">
        <v>64</v>
      </c>
    </row>
    <row r="10" spans="1:8" x14ac:dyDescent="0.35">
      <c r="A10" s="1">
        <v>0.51388888888888895</v>
      </c>
      <c r="B10" s="7" t="s">
        <v>112</v>
      </c>
      <c r="C10" s="9" t="s">
        <v>83</v>
      </c>
      <c r="D10" s="7" t="s">
        <v>115</v>
      </c>
      <c r="E10" s="7" t="s">
        <v>116</v>
      </c>
      <c r="F10" s="9" t="s">
        <v>41</v>
      </c>
      <c r="G10" s="9" t="s">
        <v>77</v>
      </c>
      <c r="H10" s="6" t="s">
        <v>86</v>
      </c>
    </row>
    <row r="11" spans="1:8" x14ac:dyDescent="0.35">
      <c r="A11" s="1">
        <v>0.56944444444444442</v>
      </c>
      <c r="B11" s="8" t="s">
        <v>20</v>
      </c>
      <c r="C11" s="8" t="s">
        <v>22</v>
      </c>
      <c r="D11" s="8" t="s">
        <v>95</v>
      </c>
      <c r="E11" s="8" t="s">
        <v>25</v>
      </c>
      <c r="F11" s="6" t="s">
        <v>37</v>
      </c>
      <c r="G11" s="6" t="s">
        <v>70</v>
      </c>
      <c r="H11" s="6" t="s">
        <v>89</v>
      </c>
    </row>
    <row r="12" spans="1:8" x14ac:dyDescent="0.35">
      <c r="A12" s="1">
        <v>0.58333333333333337</v>
      </c>
      <c r="B12" s="7" t="s">
        <v>110</v>
      </c>
      <c r="C12" s="9" t="s">
        <v>51</v>
      </c>
      <c r="D12" s="7" t="s">
        <v>106</v>
      </c>
      <c r="E12" s="9" t="s">
        <v>55</v>
      </c>
      <c r="F12" s="7" t="s">
        <v>122</v>
      </c>
      <c r="G12" s="6" t="s">
        <v>79</v>
      </c>
      <c r="H12" s="6" t="s">
        <v>50</v>
      </c>
    </row>
    <row r="13" spans="1:8" x14ac:dyDescent="0.35">
      <c r="A13" s="1">
        <v>0.59722222222222221</v>
      </c>
      <c r="B13" s="8" t="s">
        <v>62</v>
      </c>
      <c r="C13" s="8" t="s">
        <v>82</v>
      </c>
      <c r="D13" s="8" t="s">
        <v>46</v>
      </c>
      <c r="E13" s="6" t="s">
        <v>76</v>
      </c>
      <c r="F13" s="6" t="s">
        <v>39</v>
      </c>
      <c r="G13" t="s">
        <v>81</v>
      </c>
      <c r="H13" t="s">
        <v>81</v>
      </c>
    </row>
    <row r="14" spans="1:8" x14ac:dyDescent="0.35">
      <c r="A14" s="1">
        <v>0.61111111111111105</v>
      </c>
      <c r="B14" s="7" t="s">
        <v>107</v>
      </c>
      <c r="C14" s="9" t="s">
        <v>24</v>
      </c>
      <c r="D14" s="7" t="s">
        <v>105</v>
      </c>
      <c r="E14" s="7" t="s">
        <v>109</v>
      </c>
      <c r="F14" s="7" t="s">
        <v>108</v>
      </c>
      <c r="G14" s="6" t="s">
        <v>74</v>
      </c>
      <c r="H14" s="6" t="s">
        <v>96</v>
      </c>
    </row>
    <row r="15" spans="1:8" x14ac:dyDescent="0.35">
      <c r="A15" s="1">
        <v>0.625</v>
      </c>
      <c r="B15" s="8" t="s">
        <v>65</v>
      </c>
      <c r="C15" s="9" t="s">
        <v>44</v>
      </c>
      <c r="D15" s="8" t="s">
        <v>18</v>
      </c>
      <c r="E15" s="8" t="s">
        <v>84</v>
      </c>
      <c r="F15" s="8" t="s">
        <v>48</v>
      </c>
      <c r="G15" t="s">
        <v>81</v>
      </c>
      <c r="H15" t="s">
        <v>81</v>
      </c>
    </row>
    <row r="16" spans="1:8" x14ac:dyDescent="0.35">
      <c r="A16" s="1">
        <v>0.63888888888888895</v>
      </c>
      <c r="B16" s="7" t="s">
        <v>103</v>
      </c>
      <c r="C16" s="9" t="s">
        <v>78</v>
      </c>
      <c r="D16" s="7" t="s">
        <v>118</v>
      </c>
      <c r="E16" s="9" t="s">
        <v>63</v>
      </c>
      <c r="F16" s="6" t="s">
        <v>17</v>
      </c>
      <c r="G16" s="6" t="s">
        <v>61</v>
      </c>
      <c r="H16" s="6" t="s">
        <v>92</v>
      </c>
    </row>
    <row r="17" spans="1:8" x14ac:dyDescent="0.35">
      <c r="A17" s="1">
        <v>0.65277777777777779</v>
      </c>
      <c r="B17" s="8" t="s">
        <v>90</v>
      </c>
      <c r="C17" s="9" t="s">
        <v>21</v>
      </c>
      <c r="D17" s="7" t="s">
        <v>102</v>
      </c>
      <c r="E17" s="8" t="s">
        <v>38</v>
      </c>
      <c r="F17" t="s">
        <v>81</v>
      </c>
      <c r="G17" t="s">
        <v>81</v>
      </c>
      <c r="H17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H33"/>
  <sheetViews>
    <sheetView workbookViewId="0"/>
  </sheetViews>
  <sheetFormatPr defaultRowHeight="14.5" x14ac:dyDescent="0.35"/>
  <cols>
    <col min="1" max="1" width="7.54296875" bestFit="1" customWidth="1"/>
    <col min="2" max="2" width="30.81640625" bestFit="1" customWidth="1"/>
    <col min="3" max="3" width="29.26953125" bestFit="1" customWidth="1"/>
    <col min="4" max="4" width="33.453125" bestFit="1" customWidth="1"/>
    <col min="5" max="5" width="29.26953125" bestFit="1" customWidth="1"/>
    <col min="6" max="7" width="30.1796875" bestFit="1" customWidth="1"/>
    <col min="8" max="8" width="22.26953125" bestFit="1" customWidth="1"/>
  </cols>
  <sheetData>
    <row r="1" spans="1:8" x14ac:dyDescent="0.3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97</v>
      </c>
    </row>
    <row r="2" spans="1:8" x14ac:dyDescent="0.35">
      <c r="A2" s="1">
        <v>0.40277777777777773</v>
      </c>
      <c r="B2" s="8" t="s">
        <v>75</v>
      </c>
      <c r="C2" s="9" t="s">
        <v>34</v>
      </c>
      <c r="D2" s="7" t="s">
        <v>121</v>
      </c>
      <c r="E2" s="9" t="s">
        <v>32</v>
      </c>
      <c r="F2" s="9" t="s">
        <v>31</v>
      </c>
      <c r="G2" s="7" t="s">
        <v>45</v>
      </c>
      <c r="H2" s="6" t="s">
        <v>28</v>
      </c>
    </row>
    <row r="3" spans="1:8" x14ac:dyDescent="0.35">
      <c r="B3" s="8"/>
      <c r="C3" s="9"/>
      <c r="D3" s="7"/>
      <c r="E3" s="9"/>
      <c r="F3" s="9"/>
      <c r="G3" s="7"/>
      <c r="H3" s="6"/>
    </row>
    <row r="4" spans="1:8" x14ac:dyDescent="0.35">
      <c r="A4" s="1">
        <v>0.41666666666666669</v>
      </c>
      <c r="B4" s="7" t="s">
        <v>125</v>
      </c>
      <c r="C4" s="8" t="s">
        <v>35</v>
      </c>
      <c r="D4" s="7" t="s">
        <v>123</v>
      </c>
      <c r="E4" s="8" t="s">
        <v>72</v>
      </c>
      <c r="F4" s="8" t="s">
        <v>80</v>
      </c>
      <c r="G4" s="6" t="s">
        <v>29</v>
      </c>
      <c r="H4" s="6" t="s">
        <v>26</v>
      </c>
    </row>
    <row r="5" spans="1:8" x14ac:dyDescent="0.35">
      <c r="B5" s="7"/>
      <c r="C5" s="8"/>
      <c r="D5" s="7"/>
      <c r="E5" s="8"/>
      <c r="F5" s="8"/>
      <c r="G5" s="6"/>
      <c r="H5" s="6"/>
    </row>
    <row r="6" spans="1:8" x14ac:dyDescent="0.35">
      <c r="A6" s="1">
        <v>0.43055555555555558</v>
      </c>
      <c r="B6" s="7" t="s">
        <v>126</v>
      </c>
      <c r="C6" s="9" t="s">
        <v>67</v>
      </c>
      <c r="D6" s="7" t="s">
        <v>114</v>
      </c>
      <c r="E6" s="9" t="s">
        <v>52</v>
      </c>
      <c r="F6" s="9" t="s">
        <v>85</v>
      </c>
      <c r="G6" s="6" t="s">
        <v>49</v>
      </c>
      <c r="H6" s="6" t="s">
        <v>71</v>
      </c>
    </row>
    <row r="7" spans="1:8" x14ac:dyDescent="0.35">
      <c r="B7" s="7"/>
      <c r="C7" s="9"/>
      <c r="D7" s="7"/>
      <c r="E7" s="9"/>
      <c r="F7" s="9"/>
      <c r="G7" s="6"/>
      <c r="H7" s="6"/>
    </row>
    <row r="8" spans="1:8" x14ac:dyDescent="0.35">
      <c r="A8" s="1">
        <v>0.44444444444444442</v>
      </c>
      <c r="B8" s="7" t="s">
        <v>124</v>
      </c>
      <c r="C8" s="8" t="s">
        <v>53</v>
      </c>
      <c r="D8" s="7" t="s">
        <v>111</v>
      </c>
      <c r="E8" s="8" t="s">
        <v>69</v>
      </c>
      <c r="F8" s="8" t="s">
        <v>58</v>
      </c>
      <c r="G8" s="8" t="s">
        <v>27</v>
      </c>
      <c r="H8" s="6" t="s">
        <v>54</v>
      </c>
    </row>
    <row r="9" spans="1:8" x14ac:dyDescent="0.35">
      <c r="B9" s="7"/>
      <c r="C9" s="8"/>
      <c r="D9" s="7"/>
      <c r="E9" s="8"/>
      <c r="F9" s="8"/>
      <c r="G9" s="8"/>
      <c r="H9" s="6"/>
    </row>
    <row r="10" spans="1:8" x14ac:dyDescent="0.35">
      <c r="A10" s="1">
        <v>0.45833333333333331</v>
      </c>
      <c r="B10" s="7" t="s">
        <v>56</v>
      </c>
      <c r="C10" s="9" t="s">
        <v>16</v>
      </c>
      <c r="D10" s="7" t="s">
        <v>119</v>
      </c>
      <c r="E10" s="9" t="s">
        <v>88</v>
      </c>
      <c r="F10" s="7" t="s">
        <v>120</v>
      </c>
      <c r="G10" s="6" t="s">
        <v>40</v>
      </c>
      <c r="H10" s="6" t="s">
        <v>47</v>
      </c>
    </row>
    <row r="11" spans="1:8" x14ac:dyDescent="0.35">
      <c r="B11" s="7"/>
      <c r="C11" s="9"/>
      <c r="D11" s="7"/>
      <c r="E11" s="9"/>
      <c r="F11" s="7"/>
      <c r="G11" s="6"/>
      <c r="H11" s="6"/>
    </row>
    <row r="12" spans="1:8" x14ac:dyDescent="0.35">
      <c r="A12" s="1">
        <v>0.47222222222222227</v>
      </c>
      <c r="B12" s="8" t="s">
        <v>57</v>
      </c>
      <c r="C12" s="8" t="s">
        <v>68</v>
      </c>
      <c r="D12" s="8" t="s">
        <v>33</v>
      </c>
      <c r="E12" s="8" t="s">
        <v>93</v>
      </c>
      <c r="F12" s="6" t="s">
        <v>91</v>
      </c>
      <c r="G12" s="6" t="s">
        <v>66</v>
      </c>
      <c r="H12" s="6" t="s">
        <v>43</v>
      </c>
    </row>
    <row r="13" spans="1:8" x14ac:dyDescent="0.35">
      <c r="B13" s="8"/>
      <c r="C13" s="8"/>
      <c r="D13" s="8"/>
      <c r="E13" s="8"/>
      <c r="F13" s="6"/>
      <c r="G13" s="6"/>
      <c r="H13" s="6"/>
    </row>
    <row r="14" spans="1:8" x14ac:dyDescent="0.35">
      <c r="A14" s="1">
        <v>0.4861111111111111</v>
      </c>
      <c r="B14" s="7" t="s">
        <v>104</v>
      </c>
      <c r="C14" s="9" t="s">
        <v>87</v>
      </c>
      <c r="D14" s="7" t="s">
        <v>113</v>
      </c>
      <c r="E14" s="7" t="s">
        <v>117</v>
      </c>
      <c r="F14" s="9" t="s">
        <v>94</v>
      </c>
      <c r="G14" s="9" t="s">
        <v>73</v>
      </c>
      <c r="H14" s="6" t="s">
        <v>23</v>
      </c>
    </row>
    <row r="15" spans="1:8" x14ac:dyDescent="0.35">
      <c r="B15" s="7"/>
      <c r="C15" s="9"/>
      <c r="D15" s="7"/>
      <c r="E15" s="7"/>
      <c r="F15" s="9"/>
      <c r="G15" s="9"/>
      <c r="H15" s="6"/>
    </row>
    <row r="16" spans="1:8" x14ac:dyDescent="0.35">
      <c r="A16" s="1">
        <v>0.5</v>
      </c>
      <c r="B16" s="8" t="s">
        <v>59</v>
      </c>
      <c r="C16" s="7" t="s">
        <v>30</v>
      </c>
      <c r="D16" s="8" t="s">
        <v>36</v>
      </c>
      <c r="E16" s="8" t="s">
        <v>42</v>
      </c>
      <c r="F16" s="6" t="s">
        <v>19</v>
      </c>
      <c r="G16" s="6" t="s">
        <v>60</v>
      </c>
      <c r="H16" s="6" t="s">
        <v>64</v>
      </c>
    </row>
    <row r="17" spans="1:8" x14ac:dyDescent="0.35">
      <c r="B17" s="8"/>
      <c r="C17" s="7"/>
      <c r="D17" s="8"/>
      <c r="E17" s="8"/>
      <c r="F17" s="6"/>
      <c r="G17" s="6"/>
      <c r="H17" s="6"/>
    </row>
    <row r="18" spans="1:8" x14ac:dyDescent="0.35">
      <c r="A18" s="1">
        <v>0.51388888888888895</v>
      </c>
      <c r="B18" s="7" t="s">
        <v>112</v>
      </c>
      <c r="C18" s="9" t="s">
        <v>83</v>
      </c>
      <c r="D18" s="7" t="s">
        <v>115</v>
      </c>
      <c r="E18" s="7" t="s">
        <v>116</v>
      </c>
      <c r="F18" s="9" t="s">
        <v>41</v>
      </c>
      <c r="G18" s="9" t="s">
        <v>77</v>
      </c>
      <c r="H18" s="6" t="s">
        <v>86</v>
      </c>
    </row>
    <row r="19" spans="1:8" x14ac:dyDescent="0.35">
      <c r="B19" s="7"/>
      <c r="C19" s="9"/>
      <c r="D19" s="7"/>
      <c r="E19" s="7"/>
      <c r="F19" s="9"/>
      <c r="G19" s="9"/>
      <c r="H19" s="6"/>
    </row>
    <row r="20" spans="1:8" x14ac:dyDescent="0.35">
      <c r="A20" s="1">
        <v>0.56944444444444442</v>
      </c>
      <c r="B20" s="8" t="s">
        <v>20</v>
      </c>
      <c r="C20" s="8" t="s">
        <v>22</v>
      </c>
      <c r="D20" s="8" t="s">
        <v>95</v>
      </c>
      <c r="E20" s="8" t="s">
        <v>25</v>
      </c>
      <c r="F20" s="6" t="s">
        <v>37</v>
      </c>
      <c r="G20" s="6" t="s">
        <v>70</v>
      </c>
      <c r="H20" s="6" t="s">
        <v>89</v>
      </c>
    </row>
    <row r="21" spans="1:8" x14ac:dyDescent="0.35">
      <c r="B21" s="8"/>
      <c r="C21" s="8"/>
      <c r="D21" s="8"/>
      <c r="E21" s="8"/>
      <c r="F21" s="6"/>
      <c r="G21" s="6"/>
      <c r="H21" s="6"/>
    </row>
    <row r="22" spans="1:8" x14ac:dyDescent="0.35">
      <c r="A22" s="1">
        <v>0.58333333333333337</v>
      </c>
      <c r="B22" s="7" t="s">
        <v>110</v>
      </c>
      <c r="C22" s="9" t="s">
        <v>51</v>
      </c>
      <c r="D22" s="7" t="s">
        <v>106</v>
      </c>
      <c r="E22" s="9" t="s">
        <v>55</v>
      </c>
      <c r="F22" s="7" t="s">
        <v>122</v>
      </c>
      <c r="G22" s="6" t="s">
        <v>79</v>
      </c>
      <c r="H22" s="6" t="s">
        <v>50</v>
      </c>
    </row>
    <row r="23" spans="1:8" x14ac:dyDescent="0.35">
      <c r="B23" s="7"/>
      <c r="C23" s="9"/>
      <c r="D23" s="7"/>
      <c r="E23" s="9"/>
      <c r="F23" s="7"/>
      <c r="G23" s="6"/>
      <c r="H23" s="6"/>
    </row>
    <row r="24" spans="1:8" x14ac:dyDescent="0.35">
      <c r="A24" s="1">
        <v>0.59722222222222221</v>
      </c>
      <c r="B24" s="8" t="s">
        <v>62</v>
      </c>
      <c r="C24" s="8" t="s">
        <v>82</v>
      </c>
      <c r="D24" s="8" t="s">
        <v>46</v>
      </c>
      <c r="E24" s="6" t="s">
        <v>76</v>
      </c>
      <c r="F24" s="6" t="s">
        <v>39</v>
      </c>
      <c r="G24" t="s">
        <v>81</v>
      </c>
      <c r="H24" t="s">
        <v>81</v>
      </c>
    </row>
    <row r="25" spans="1:8" x14ac:dyDescent="0.35">
      <c r="B25" s="8"/>
      <c r="C25" s="8"/>
      <c r="D25" s="8"/>
      <c r="E25" s="6"/>
      <c r="F25" s="6"/>
    </row>
    <row r="26" spans="1:8" x14ac:dyDescent="0.35">
      <c r="A26" s="1">
        <v>0.61111111111111105</v>
      </c>
      <c r="B26" s="7" t="s">
        <v>107</v>
      </c>
      <c r="C26" s="9" t="s">
        <v>24</v>
      </c>
      <c r="D26" s="7" t="s">
        <v>105</v>
      </c>
      <c r="E26" s="7" t="s">
        <v>109</v>
      </c>
      <c r="F26" s="7" t="s">
        <v>108</v>
      </c>
      <c r="G26" s="6" t="s">
        <v>74</v>
      </c>
      <c r="H26" s="6" t="s">
        <v>96</v>
      </c>
    </row>
    <row r="27" spans="1:8" x14ac:dyDescent="0.35">
      <c r="B27" s="7"/>
      <c r="C27" s="9"/>
      <c r="D27" s="7"/>
      <c r="E27" s="7"/>
      <c r="F27" s="7"/>
      <c r="G27" s="6"/>
      <c r="H27" s="6"/>
    </row>
    <row r="28" spans="1:8" x14ac:dyDescent="0.35">
      <c r="A28" s="1">
        <v>0.625</v>
      </c>
      <c r="B28" s="8" t="s">
        <v>65</v>
      </c>
      <c r="C28" s="9" t="s">
        <v>44</v>
      </c>
      <c r="D28" s="8" t="s">
        <v>18</v>
      </c>
      <c r="E28" s="8" t="s">
        <v>84</v>
      </c>
      <c r="F28" s="8" t="s">
        <v>48</v>
      </c>
      <c r="G28" t="s">
        <v>81</v>
      </c>
      <c r="H28" t="s">
        <v>81</v>
      </c>
    </row>
    <row r="29" spans="1:8" x14ac:dyDescent="0.35">
      <c r="B29" s="8"/>
      <c r="C29" s="9"/>
      <c r="D29" s="8"/>
      <c r="E29" s="8"/>
      <c r="F29" s="8"/>
    </row>
    <row r="30" spans="1:8" x14ac:dyDescent="0.35">
      <c r="A30" s="1">
        <v>0.63888888888888895</v>
      </c>
      <c r="B30" s="7" t="s">
        <v>103</v>
      </c>
      <c r="C30" s="9" t="s">
        <v>78</v>
      </c>
      <c r="D30" s="7" t="s">
        <v>118</v>
      </c>
      <c r="E30" s="9" t="s">
        <v>63</v>
      </c>
      <c r="F30" s="6" t="s">
        <v>17</v>
      </c>
      <c r="G30" s="6" t="s">
        <v>61</v>
      </c>
      <c r="H30" s="6" t="s">
        <v>92</v>
      </c>
    </row>
    <row r="31" spans="1:8" x14ac:dyDescent="0.35">
      <c r="B31" s="7"/>
      <c r="C31" s="9"/>
      <c r="D31" s="7"/>
      <c r="E31" s="9"/>
      <c r="F31" s="6"/>
      <c r="G31" s="6"/>
      <c r="H31" s="6"/>
    </row>
    <row r="32" spans="1:8" x14ac:dyDescent="0.35">
      <c r="A32" s="1">
        <v>0.65277777777777779</v>
      </c>
      <c r="B32" s="8" t="s">
        <v>90</v>
      </c>
      <c r="C32" s="9" t="s">
        <v>21</v>
      </c>
      <c r="D32" s="7" t="s">
        <v>102</v>
      </c>
      <c r="E32" s="8" t="s">
        <v>38</v>
      </c>
      <c r="F32" t="s">
        <v>81</v>
      </c>
      <c r="G32" t="s">
        <v>81</v>
      </c>
      <c r="H32" t="s">
        <v>81</v>
      </c>
    </row>
    <row r="33" spans="2:5" x14ac:dyDescent="0.35">
      <c r="B33" s="8"/>
      <c r="C33" s="9"/>
      <c r="D33" s="7"/>
      <c r="E33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H65"/>
  <sheetViews>
    <sheetView workbookViewId="0"/>
  </sheetViews>
  <sheetFormatPr defaultRowHeight="14.5" x14ac:dyDescent="0.35"/>
  <cols>
    <col min="1" max="1" width="7.54296875" bestFit="1" customWidth="1"/>
    <col min="2" max="2" width="30.81640625" bestFit="1" customWidth="1"/>
    <col min="3" max="3" width="29.26953125" bestFit="1" customWidth="1"/>
    <col min="4" max="4" width="33.453125" bestFit="1" customWidth="1"/>
    <col min="5" max="5" width="29.26953125" bestFit="1" customWidth="1"/>
    <col min="6" max="7" width="30.1796875" bestFit="1" customWidth="1"/>
    <col min="8" max="8" width="22.26953125" bestFit="1" customWidth="1"/>
  </cols>
  <sheetData>
    <row r="1" spans="1:8" x14ac:dyDescent="0.3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97</v>
      </c>
    </row>
    <row r="2" spans="1:8" x14ac:dyDescent="0.35">
      <c r="A2" s="1">
        <v>0.40277777777777773</v>
      </c>
      <c r="B2" s="8" t="s">
        <v>75</v>
      </c>
      <c r="C2" s="9" t="s">
        <v>34</v>
      </c>
      <c r="D2" s="7" t="s">
        <v>121</v>
      </c>
      <c r="E2" s="9" t="s">
        <v>32</v>
      </c>
      <c r="F2" s="9" t="s">
        <v>31</v>
      </c>
      <c r="G2" s="7" t="s">
        <v>45</v>
      </c>
      <c r="H2" s="6" t="s">
        <v>28</v>
      </c>
    </row>
    <row r="3" spans="1:8" x14ac:dyDescent="0.35">
      <c r="B3" s="8"/>
      <c r="C3" s="9"/>
      <c r="D3" s="7"/>
      <c r="E3" s="9"/>
      <c r="F3" s="9"/>
      <c r="G3" s="7"/>
      <c r="H3" s="6"/>
    </row>
    <row r="4" spans="1:8" x14ac:dyDescent="0.35">
      <c r="B4" s="8"/>
      <c r="C4" s="9"/>
      <c r="D4" s="7"/>
      <c r="E4" s="9"/>
      <c r="F4" s="9"/>
      <c r="G4" s="7"/>
      <c r="H4" s="6"/>
    </row>
    <row r="5" spans="1:8" x14ac:dyDescent="0.35">
      <c r="B5" s="8"/>
      <c r="C5" s="9"/>
      <c r="D5" s="7"/>
      <c r="E5" s="9"/>
      <c r="F5" s="9"/>
      <c r="G5" s="7"/>
      <c r="H5" s="6"/>
    </row>
    <row r="6" spans="1:8" x14ac:dyDescent="0.35">
      <c r="A6" s="1">
        <v>0.41666666666666669</v>
      </c>
      <c r="B6" s="7" t="s">
        <v>125</v>
      </c>
      <c r="C6" s="8" t="s">
        <v>35</v>
      </c>
      <c r="D6" s="7" t="s">
        <v>123</v>
      </c>
      <c r="E6" s="8" t="s">
        <v>72</v>
      </c>
      <c r="F6" s="8" t="s">
        <v>80</v>
      </c>
      <c r="G6" s="6" t="s">
        <v>29</v>
      </c>
      <c r="H6" s="6" t="s">
        <v>26</v>
      </c>
    </row>
    <row r="7" spans="1:8" x14ac:dyDescent="0.35">
      <c r="B7" s="7"/>
      <c r="C7" s="8"/>
      <c r="D7" s="7"/>
      <c r="E7" s="8"/>
      <c r="F7" s="8"/>
      <c r="G7" s="6"/>
      <c r="H7" s="6"/>
    </row>
    <row r="8" spans="1:8" x14ac:dyDescent="0.35">
      <c r="B8" s="7"/>
      <c r="C8" s="8"/>
      <c r="D8" s="7"/>
      <c r="E8" s="8"/>
      <c r="F8" s="8"/>
      <c r="G8" s="6"/>
      <c r="H8" s="6"/>
    </row>
    <row r="9" spans="1:8" x14ac:dyDescent="0.35">
      <c r="B9" s="7"/>
      <c r="C9" s="8"/>
      <c r="D9" s="7"/>
      <c r="E9" s="8"/>
      <c r="F9" s="8"/>
      <c r="G9" s="6"/>
      <c r="H9" s="6"/>
    </row>
    <row r="10" spans="1:8" x14ac:dyDescent="0.35">
      <c r="A10" s="1">
        <v>0.43055555555555558</v>
      </c>
      <c r="B10" s="7" t="s">
        <v>126</v>
      </c>
      <c r="C10" s="9" t="s">
        <v>67</v>
      </c>
      <c r="D10" s="7" t="s">
        <v>114</v>
      </c>
      <c r="E10" s="9" t="s">
        <v>52</v>
      </c>
      <c r="F10" s="9" t="s">
        <v>85</v>
      </c>
      <c r="G10" s="6" t="s">
        <v>49</v>
      </c>
      <c r="H10" s="6" t="s">
        <v>71</v>
      </c>
    </row>
    <row r="11" spans="1:8" x14ac:dyDescent="0.35">
      <c r="B11" s="7"/>
      <c r="C11" s="9"/>
      <c r="D11" s="7"/>
      <c r="E11" s="9"/>
      <c r="F11" s="9"/>
      <c r="G11" s="6"/>
      <c r="H11" s="6"/>
    </row>
    <row r="12" spans="1:8" x14ac:dyDescent="0.35">
      <c r="B12" s="7"/>
      <c r="C12" s="9"/>
      <c r="D12" s="7"/>
      <c r="E12" s="9"/>
      <c r="F12" s="9"/>
      <c r="G12" s="6"/>
      <c r="H12" s="6"/>
    </row>
    <row r="13" spans="1:8" x14ac:dyDescent="0.35">
      <c r="B13" s="7"/>
      <c r="C13" s="9"/>
      <c r="D13" s="7"/>
      <c r="E13" s="9"/>
      <c r="F13" s="9"/>
      <c r="G13" s="6"/>
      <c r="H13" s="6"/>
    </row>
    <row r="14" spans="1:8" x14ac:dyDescent="0.35">
      <c r="A14" s="1">
        <v>0.44444444444444442</v>
      </c>
      <c r="B14" s="7" t="s">
        <v>124</v>
      </c>
      <c r="C14" s="8" t="s">
        <v>53</v>
      </c>
      <c r="D14" s="7" t="s">
        <v>111</v>
      </c>
      <c r="E14" s="8" t="s">
        <v>69</v>
      </c>
      <c r="F14" s="8" t="s">
        <v>58</v>
      </c>
      <c r="G14" s="8" t="s">
        <v>27</v>
      </c>
      <c r="H14" s="6" t="s">
        <v>54</v>
      </c>
    </row>
    <row r="15" spans="1:8" x14ac:dyDescent="0.35">
      <c r="B15" s="7"/>
      <c r="C15" s="8"/>
      <c r="D15" s="7"/>
      <c r="E15" s="8"/>
      <c r="F15" s="8"/>
      <c r="G15" s="8"/>
      <c r="H15" s="6"/>
    </row>
    <row r="16" spans="1:8" x14ac:dyDescent="0.35">
      <c r="B16" s="7"/>
      <c r="C16" s="8"/>
      <c r="D16" s="7"/>
      <c r="E16" s="8"/>
      <c r="F16" s="8"/>
      <c r="G16" s="8"/>
      <c r="H16" s="6"/>
    </row>
    <row r="17" spans="1:8" x14ac:dyDescent="0.35">
      <c r="B17" s="7"/>
      <c r="C17" s="8"/>
      <c r="D17" s="7"/>
      <c r="E17" s="8"/>
      <c r="F17" s="8"/>
      <c r="G17" s="8"/>
      <c r="H17" s="6"/>
    </row>
    <row r="18" spans="1:8" x14ac:dyDescent="0.35">
      <c r="A18" s="1">
        <v>0.45833333333333331</v>
      </c>
      <c r="B18" s="7" t="s">
        <v>56</v>
      </c>
      <c r="C18" s="9" t="s">
        <v>16</v>
      </c>
      <c r="D18" s="7" t="s">
        <v>119</v>
      </c>
      <c r="E18" s="9" t="s">
        <v>88</v>
      </c>
      <c r="F18" s="7" t="s">
        <v>120</v>
      </c>
      <c r="G18" s="6" t="s">
        <v>40</v>
      </c>
      <c r="H18" s="6" t="s">
        <v>47</v>
      </c>
    </row>
    <row r="19" spans="1:8" x14ac:dyDescent="0.35">
      <c r="B19" s="7"/>
      <c r="C19" s="9"/>
      <c r="D19" s="7"/>
      <c r="E19" s="9"/>
      <c r="F19" s="7"/>
      <c r="G19" s="6"/>
      <c r="H19" s="6"/>
    </row>
    <row r="20" spans="1:8" x14ac:dyDescent="0.35">
      <c r="B20" s="7"/>
      <c r="C20" s="9"/>
      <c r="D20" s="7"/>
      <c r="E20" s="9"/>
      <c r="F20" s="7"/>
      <c r="G20" s="6"/>
      <c r="H20" s="6"/>
    </row>
    <row r="21" spans="1:8" x14ac:dyDescent="0.35">
      <c r="B21" s="7"/>
      <c r="C21" s="9"/>
      <c r="D21" s="7"/>
      <c r="E21" s="9"/>
      <c r="F21" s="7"/>
      <c r="G21" s="6"/>
      <c r="H21" s="6"/>
    </row>
    <row r="22" spans="1:8" x14ac:dyDescent="0.35">
      <c r="A22" s="1">
        <v>0.47222222222222227</v>
      </c>
      <c r="B22" s="8" t="s">
        <v>57</v>
      </c>
      <c r="C22" s="8" t="s">
        <v>68</v>
      </c>
      <c r="D22" s="8" t="s">
        <v>33</v>
      </c>
      <c r="E22" s="8" t="s">
        <v>93</v>
      </c>
      <c r="F22" s="6" t="s">
        <v>91</v>
      </c>
      <c r="G22" s="6" t="s">
        <v>66</v>
      </c>
      <c r="H22" s="6" t="s">
        <v>43</v>
      </c>
    </row>
    <row r="23" spans="1:8" x14ac:dyDescent="0.35">
      <c r="B23" s="8"/>
      <c r="C23" s="8"/>
      <c r="D23" s="8"/>
      <c r="E23" s="8"/>
      <c r="F23" s="6"/>
      <c r="G23" s="6"/>
      <c r="H23" s="6"/>
    </row>
    <row r="24" spans="1:8" x14ac:dyDescent="0.35">
      <c r="B24" s="8"/>
      <c r="C24" s="8"/>
      <c r="D24" s="8"/>
      <c r="E24" s="8"/>
      <c r="F24" s="6"/>
      <c r="G24" s="6"/>
      <c r="H24" s="6"/>
    </row>
    <row r="25" spans="1:8" x14ac:dyDescent="0.35">
      <c r="B25" s="8"/>
      <c r="C25" s="8"/>
      <c r="D25" s="8"/>
      <c r="E25" s="8"/>
      <c r="F25" s="6"/>
      <c r="G25" s="6"/>
      <c r="H25" s="6"/>
    </row>
    <row r="26" spans="1:8" x14ac:dyDescent="0.35">
      <c r="A26" s="1">
        <v>0.4861111111111111</v>
      </c>
      <c r="B26" s="7" t="s">
        <v>104</v>
      </c>
      <c r="C26" s="9" t="s">
        <v>87</v>
      </c>
      <c r="D26" s="7" t="s">
        <v>113</v>
      </c>
      <c r="E26" s="7" t="s">
        <v>117</v>
      </c>
      <c r="F26" s="9" t="s">
        <v>94</v>
      </c>
      <c r="G26" s="9" t="s">
        <v>73</v>
      </c>
      <c r="H26" s="6" t="s">
        <v>23</v>
      </c>
    </row>
    <row r="27" spans="1:8" x14ac:dyDescent="0.35">
      <c r="B27" s="7"/>
      <c r="C27" s="9"/>
      <c r="D27" s="7"/>
      <c r="E27" s="7"/>
      <c r="F27" s="9"/>
      <c r="G27" s="9"/>
      <c r="H27" s="6"/>
    </row>
    <row r="28" spans="1:8" x14ac:dyDescent="0.35">
      <c r="B28" s="7"/>
      <c r="C28" s="9"/>
      <c r="D28" s="7"/>
      <c r="E28" s="7"/>
      <c r="F28" s="9"/>
      <c r="G28" s="9"/>
      <c r="H28" s="6"/>
    </row>
    <row r="29" spans="1:8" x14ac:dyDescent="0.35">
      <c r="B29" s="7"/>
      <c r="C29" s="9"/>
      <c r="D29" s="7"/>
      <c r="E29" s="7"/>
      <c r="F29" s="9"/>
      <c r="G29" s="9"/>
      <c r="H29" s="6"/>
    </row>
    <row r="30" spans="1:8" x14ac:dyDescent="0.35">
      <c r="A30" s="1">
        <v>0.5</v>
      </c>
      <c r="B30" s="8" t="s">
        <v>59</v>
      </c>
      <c r="C30" s="7" t="s">
        <v>30</v>
      </c>
      <c r="D30" s="8" t="s">
        <v>36</v>
      </c>
      <c r="E30" s="8" t="s">
        <v>42</v>
      </c>
      <c r="F30" s="6" t="s">
        <v>19</v>
      </c>
      <c r="G30" s="6" t="s">
        <v>60</v>
      </c>
      <c r="H30" s="6" t="s">
        <v>64</v>
      </c>
    </row>
    <row r="31" spans="1:8" x14ac:dyDescent="0.35">
      <c r="B31" s="8"/>
      <c r="C31" s="7"/>
      <c r="D31" s="8"/>
      <c r="E31" s="8"/>
      <c r="F31" s="6"/>
      <c r="G31" s="6"/>
      <c r="H31" s="6"/>
    </row>
    <row r="32" spans="1:8" x14ac:dyDescent="0.35">
      <c r="B32" s="8"/>
      <c r="C32" s="7"/>
      <c r="D32" s="8"/>
      <c r="E32" s="8"/>
      <c r="F32" s="6"/>
      <c r="G32" s="6"/>
      <c r="H32" s="6"/>
    </row>
    <row r="33" spans="1:8" x14ac:dyDescent="0.35">
      <c r="B33" s="8"/>
      <c r="C33" s="7"/>
      <c r="D33" s="8"/>
      <c r="E33" s="8"/>
      <c r="F33" s="6"/>
      <c r="G33" s="6"/>
      <c r="H33" s="6"/>
    </row>
    <row r="34" spans="1:8" x14ac:dyDescent="0.35">
      <c r="A34" s="1">
        <v>0.51388888888888895</v>
      </c>
      <c r="B34" s="7" t="s">
        <v>112</v>
      </c>
      <c r="C34" s="9" t="s">
        <v>83</v>
      </c>
      <c r="D34" s="7" t="s">
        <v>115</v>
      </c>
      <c r="E34" s="7" t="s">
        <v>116</v>
      </c>
      <c r="F34" s="9" t="s">
        <v>41</v>
      </c>
      <c r="G34" s="9" t="s">
        <v>77</v>
      </c>
      <c r="H34" s="6" t="s">
        <v>86</v>
      </c>
    </row>
    <row r="35" spans="1:8" x14ac:dyDescent="0.35">
      <c r="B35" s="7"/>
      <c r="C35" s="9"/>
      <c r="D35" s="7"/>
      <c r="E35" s="7"/>
      <c r="F35" s="9"/>
      <c r="G35" s="9"/>
      <c r="H35" s="6"/>
    </row>
    <row r="36" spans="1:8" x14ac:dyDescent="0.35">
      <c r="B36" s="7"/>
      <c r="C36" s="9"/>
      <c r="D36" s="7"/>
      <c r="E36" s="7"/>
      <c r="F36" s="9"/>
      <c r="G36" s="9"/>
      <c r="H36" s="6"/>
    </row>
    <row r="37" spans="1:8" x14ac:dyDescent="0.35">
      <c r="B37" s="7"/>
      <c r="C37" s="9"/>
      <c r="D37" s="7"/>
      <c r="E37" s="7"/>
      <c r="F37" s="9"/>
      <c r="G37" s="9"/>
      <c r="H37" s="6"/>
    </row>
    <row r="38" spans="1:8" x14ac:dyDescent="0.35">
      <c r="A38" s="1">
        <v>0.56944444444444442</v>
      </c>
      <c r="B38" s="8" t="s">
        <v>20</v>
      </c>
      <c r="C38" s="8" t="s">
        <v>22</v>
      </c>
      <c r="D38" s="8" t="s">
        <v>95</v>
      </c>
      <c r="E38" s="8" t="s">
        <v>25</v>
      </c>
      <c r="F38" s="6" t="s">
        <v>37</v>
      </c>
      <c r="G38" s="6" t="s">
        <v>70</v>
      </c>
      <c r="H38" s="6" t="s">
        <v>89</v>
      </c>
    </row>
    <row r="39" spans="1:8" x14ac:dyDescent="0.35">
      <c r="B39" s="8"/>
      <c r="C39" s="8"/>
      <c r="D39" s="8"/>
      <c r="E39" s="8"/>
      <c r="F39" s="6"/>
      <c r="G39" s="6"/>
      <c r="H39" s="6"/>
    </row>
    <row r="40" spans="1:8" x14ac:dyDescent="0.35">
      <c r="B40" s="8"/>
      <c r="C40" s="8"/>
      <c r="D40" s="8"/>
      <c r="E40" s="8"/>
      <c r="F40" s="6"/>
      <c r="G40" s="6"/>
      <c r="H40" s="6"/>
    </row>
    <row r="41" spans="1:8" x14ac:dyDescent="0.35">
      <c r="B41" s="8"/>
      <c r="C41" s="8"/>
      <c r="D41" s="8"/>
      <c r="E41" s="8"/>
      <c r="F41" s="6"/>
      <c r="G41" s="6"/>
      <c r="H41" s="6"/>
    </row>
    <row r="42" spans="1:8" x14ac:dyDescent="0.35">
      <c r="A42" s="1">
        <v>0.58333333333333337</v>
      </c>
      <c r="B42" s="7" t="s">
        <v>110</v>
      </c>
      <c r="C42" s="9" t="s">
        <v>51</v>
      </c>
      <c r="D42" s="7" t="s">
        <v>106</v>
      </c>
      <c r="E42" s="9" t="s">
        <v>55</v>
      </c>
      <c r="F42" s="7" t="s">
        <v>122</v>
      </c>
      <c r="G42" s="6" t="s">
        <v>79</v>
      </c>
      <c r="H42" s="6" t="s">
        <v>50</v>
      </c>
    </row>
    <row r="43" spans="1:8" x14ac:dyDescent="0.35">
      <c r="B43" s="7"/>
      <c r="C43" s="9"/>
      <c r="D43" s="7"/>
      <c r="E43" s="9"/>
      <c r="F43" s="7"/>
      <c r="G43" s="6"/>
      <c r="H43" s="6"/>
    </row>
    <row r="44" spans="1:8" x14ac:dyDescent="0.35">
      <c r="B44" s="7"/>
      <c r="C44" s="9"/>
      <c r="D44" s="7"/>
      <c r="E44" s="9"/>
      <c r="F44" s="7"/>
      <c r="G44" s="6"/>
      <c r="H44" s="6"/>
    </row>
    <row r="45" spans="1:8" x14ac:dyDescent="0.35">
      <c r="B45" s="7"/>
      <c r="C45" s="9"/>
      <c r="D45" s="7"/>
      <c r="E45" s="9"/>
      <c r="F45" s="7"/>
      <c r="G45" s="6"/>
      <c r="H45" s="6"/>
    </row>
    <row r="46" spans="1:8" x14ac:dyDescent="0.35">
      <c r="A46" s="1">
        <v>0.59722222222222221</v>
      </c>
      <c r="B46" s="8" t="s">
        <v>62</v>
      </c>
      <c r="C46" s="8" t="s">
        <v>82</v>
      </c>
      <c r="D46" s="8" t="s">
        <v>46</v>
      </c>
      <c r="E46" s="6" t="s">
        <v>76</v>
      </c>
      <c r="F46" s="6" t="s">
        <v>39</v>
      </c>
      <c r="G46" t="s">
        <v>81</v>
      </c>
      <c r="H46" t="s">
        <v>81</v>
      </c>
    </row>
    <row r="47" spans="1:8" x14ac:dyDescent="0.35">
      <c r="B47" s="8"/>
      <c r="C47" s="8"/>
      <c r="D47" s="8"/>
      <c r="E47" s="6"/>
      <c r="F47" s="6"/>
    </row>
    <row r="48" spans="1:8" x14ac:dyDescent="0.35">
      <c r="B48" s="8"/>
      <c r="C48" s="8"/>
      <c r="D48" s="8"/>
      <c r="E48" s="6"/>
      <c r="F48" s="6"/>
    </row>
    <row r="49" spans="1:8" x14ac:dyDescent="0.35">
      <c r="B49" s="8"/>
      <c r="C49" s="8"/>
      <c r="D49" s="8"/>
      <c r="E49" s="6"/>
      <c r="F49" s="6"/>
    </row>
    <row r="50" spans="1:8" x14ac:dyDescent="0.35">
      <c r="A50" s="1">
        <v>0.61111111111111105</v>
      </c>
      <c r="B50" s="7" t="s">
        <v>107</v>
      </c>
      <c r="C50" s="9" t="s">
        <v>24</v>
      </c>
      <c r="D50" s="7" t="s">
        <v>105</v>
      </c>
      <c r="E50" s="7" t="s">
        <v>109</v>
      </c>
      <c r="F50" s="7" t="s">
        <v>108</v>
      </c>
      <c r="G50" s="6" t="s">
        <v>74</v>
      </c>
      <c r="H50" s="6" t="s">
        <v>96</v>
      </c>
    </row>
    <row r="51" spans="1:8" x14ac:dyDescent="0.35">
      <c r="B51" s="7"/>
      <c r="C51" s="9"/>
      <c r="D51" s="7"/>
      <c r="E51" s="7"/>
      <c r="F51" s="7"/>
      <c r="G51" s="6"/>
      <c r="H51" s="6"/>
    </row>
    <row r="52" spans="1:8" x14ac:dyDescent="0.35">
      <c r="B52" s="7"/>
      <c r="C52" s="9"/>
      <c r="D52" s="7"/>
      <c r="E52" s="7"/>
      <c r="F52" s="7"/>
      <c r="G52" s="6"/>
      <c r="H52" s="6"/>
    </row>
    <row r="53" spans="1:8" x14ac:dyDescent="0.35">
      <c r="B53" s="7"/>
      <c r="C53" s="9"/>
      <c r="D53" s="7"/>
      <c r="E53" s="7"/>
      <c r="F53" s="7"/>
      <c r="G53" s="6"/>
      <c r="H53" s="6"/>
    </row>
    <row r="54" spans="1:8" x14ac:dyDescent="0.35">
      <c r="A54" s="1">
        <v>0.625</v>
      </c>
      <c r="B54" s="8" t="s">
        <v>65</v>
      </c>
      <c r="C54" s="9" t="s">
        <v>44</v>
      </c>
      <c r="D54" s="8" t="s">
        <v>18</v>
      </c>
      <c r="E54" s="8" t="s">
        <v>84</v>
      </c>
      <c r="F54" s="8" t="s">
        <v>48</v>
      </c>
      <c r="G54" t="s">
        <v>81</v>
      </c>
      <c r="H54" t="s">
        <v>81</v>
      </c>
    </row>
    <row r="55" spans="1:8" x14ac:dyDescent="0.35">
      <c r="B55" s="8"/>
      <c r="C55" s="9"/>
      <c r="D55" s="8"/>
      <c r="E55" s="8"/>
      <c r="F55" s="8"/>
    </row>
    <row r="56" spans="1:8" x14ac:dyDescent="0.35">
      <c r="B56" s="8"/>
      <c r="C56" s="9"/>
      <c r="D56" s="8"/>
      <c r="E56" s="8"/>
      <c r="F56" s="8"/>
    </row>
    <row r="57" spans="1:8" x14ac:dyDescent="0.35">
      <c r="B57" s="8"/>
      <c r="C57" s="9"/>
      <c r="D57" s="8"/>
      <c r="E57" s="8"/>
      <c r="F57" s="8"/>
    </row>
    <row r="58" spans="1:8" x14ac:dyDescent="0.35">
      <c r="A58" s="1">
        <v>0.63888888888888895</v>
      </c>
      <c r="B58" s="7" t="s">
        <v>103</v>
      </c>
      <c r="C58" s="9" t="s">
        <v>78</v>
      </c>
      <c r="D58" s="7" t="s">
        <v>118</v>
      </c>
      <c r="E58" s="9" t="s">
        <v>63</v>
      </c>
      <c r="F58" s="6" t="s">
        <v>17</v>
      </c>
      <c r="G58" s="6" t="s">
        <v>61</v>
      </c>
      <c r="H58" s="6" t="s">
        <v>92</v>
      </c>
    </row>
    <row r="59" spans="1:8" x14ac:dyDescent="0.35">
      <c r="B59" s="7"/>
      <c r="C59" s="9"/>
      <c r="D59" s="7"/>
      <c r="E59" s="9"/>
      <c r="F59" s="6"/>
      <c r="G59" s="6"/>
      <c r="H59" s="6"/>
    </row>
    <row r="60" spans="1:8" x14ac:dyDescent="0.35">
      <c r="B60" s="7"/>
      <c r="C60" s="9"/>
      <c r="D60" s="7"/>
      <c r="E60" s="9"/>
      <c r="F60" s="6"/>
      <c r="G60" s="6"/>
      <c r="H60" s="6"/>
    </row>
    <row r="61" spans="1:8" x14ac:dyDescent="0.35">
      <c r="B61" s="7"/>
      <c r="C61" s="9"/>
      <c r="D61" s="7"/>
      <c r="E61" s="9"/>
      <c r="F61" s="6"/>
      <c r="G61" s="6"/>
      <c r="H61" s="6"/>
    </row>
    <row r="62" spans="1:8" x14ac:dyDescent="0.35">
      <c r="A62" s="1">
        <v>0.65277777777777779</v>
      </c>
      <c r="B62" s="8" t="s">
        <v>90</v>
      </c>
      <c r="C62" s="9" t="s">
        <v>21</v>
      </c>
      <c r="D62" s="7" t="s">
        <v>102</v>
      </c>
      <c r="E62" s="8" t="s">
        <v>38</v>
      </c>
      <c r="F62" t="s">
        <v>81</v>
      </c>
      <c r="G62" t="s">
        <v>81</v>
      </c>
      <c r="H62" t="s">
        <v>81</v>
      </c>
    </row>
    <row r="63" spans="1:8" x14ac:dyDescent="0.35">
      <c r="B63" s="8"/>
      <c r="C63" s="9"/>
      <c r="D63" s="7"/>
      <c r="E63" s="8"/>
    </row>
    <row r="64" spans="1:8" x14ac:dyDescent="0.35">
      <c r="B64" s="8"/>
      <c r="C64" s="9"/>
      <c r="D64" s="7"/>
      <c r="E64" s="8"/>
    </row>
    <row r="65" spans="2:5" x14ac:dyDescent="0.35">
      <c r="B65" s="8"/>
      <c r="C65" s="9"/>
      <c r="D65" s="7"/>
      <c r="E65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Q21"/>
  <sheetViews>
    <sheetView workbookViewId="0">
      <selection activeCell="L27" sqref="L27"/>
    </sheetView>
  </sheetViews>
  <sheetFormatPr defaultRowHeight="14.5" x14ac:dyDescent="0.35"/>
  <cols>
    <col min="1" max="1" width="9.36328125" bestFit="1" customWidth="1"/>
    <col min="2" max="17" width="9" customWidth="1"/>
  </cols>
  <sheetData>
    <row r="1" spans="1:17" x14ac:dyDescent="0.35">
      <c r="C1" t="s">
        <v>131</v>
      </c>
      <c r="E1" t="s">
        <v>132</v>
      </c>
      <c r="G1" t="s">
        <v>133</v>
      </c>
      <c r="I1" t="s">
        <v>134</v>
      </c>
      <c r="K1" t="s">
        <v>135</v>
      </c>
      <c r="M1" t="s">
        <v>136</v>
      </c>
      <c r="O1" t="s">
        <v>137</v>
      </c>
      <c r="Q1" t="s">
        <v>138</v>
      </c>
    </row>
    <row r="2" spans="1:17" x14ac:dyDescent="0.35">
      <c r="A2" t="s">
        <v>131</v>
      </c>
      <c r="B2" t="s">
        <v>139</v>
      </c>
      <c r="C2" t="s">
        <v>139</v>
      </c>
    </row>
    <row r="3" spans="1:17" x14ac:dyDescent="0.35">
      <c r="A3" t="s">
        <v>132</v>
      </c>
      <c r="B3" t="s">
        <v>139</v>
      </c>
      <c r="C3" t="s">
        <v>139</v>
      </c>
      <c r="D3" t="s">
        <v>139</v>
      </c>
      <c r="E3" t="s">
        <v>139</v>
      </c>
    </row>
    <row r="4" spans="1:17" x14ac:dyDescent="0.35">
      <c r="A4" t="s">
        <v>133</v>
      </c>
      <c r="B4" t="s">
        <v>139</v>
      </c>
      <c r="C4" t="s">
        <v>139</v>
      </c>
      <c r="D4" t="s">
        <v>139</v>
      </c>
      <c r="E4" t="s">
        <v>139</v>
      </c>
      <c r="F4" t="s">
        <v>139</v>
      </c>
      <c r="G4" t="s">
        <v>139</v>
      </c>
    </row>
    <row r="5" spans="1:17" x14ac:dyDescent="0.35">
      <c r="A5" t="s">
        <v>134</v>
      </c>
      <c r="B5" t="s">
        <v>139</v>
      </c>
      <c r="C5" t="s">
        <v>139</v>
      </c>
      <c r="D5" t="s">
        <v>139</v>
      </c>
      <c r="E5" t="s">
        <v>139</v>
      </c>
      <c r="F5" t="s">
        <v>139</v>
      </c>
      <c r="G5" t="s">
        <v>139</v>
      </c>
      <c r="H5" t="s">
        <v>139</v>
      </c>
      <c r="I5" t="s">
        <v>139</v>
      </c>
    </row>
    <row r="6" spans="1:17" x14ac:dyDescent="0.35">
      <c r="A6" t="s">
        <v>135</v>
      </c>
      <c r="B6" t="s">
        <v>139</v>
      </c>
      <c r="C6" t="s">
        <v>139</v>
      </c>
      <c r="D6" t="s">
        <v>139</v>
      </c>
      <c r="E6" t="s">
        <v>139</v>
      </c>
      <c r="F6" t="s">
        <v>139</v>
      </c>
      <c r="G6" t="s">
        <v>139</v>
      </c>
      <c r="H6" t="s">
        <v>139</v>
      </c>
      <c r="I6" t="s">
        <v>139</v>
      </c>
      <c r="J6" t="s">
        <v>139</v>
      </c>
      <c r="K6" t="s">
        <v>139</v>
      </c>
    </row>
    <row r="7" spans="1:17" x14ac:dyDescent="0.35">
      <c r="A7" t="s">
        <v>136</v>
      </c>
      <c r="B7" t="s">
        <v>139</v>
      </c>
      <c r="C7" t="s">
        <v>139</v>
      </c>
      <c r="D7" t="s">
        <v>139</v>
      </c>
      <c r="E7" t="s">
        <v>139</v>
      </c>
      <c r="F7" t="s">
        <v>139</v>
      </c>
      <c r="G7" t="s">
        <v>139</v>
      </c>
      <c r="H7" t="s">
        <v>139</v>
      </c>
      <c r="I7" t="s">
        <v>139</v>
      </c>
      <c r="J7" t="s">
        <v>139</v>
      </c>
      <c r="K7" t="s">
        <v>139</v>
      </c>
      <c r="L7" t="s">
        <v>139</v>
      </c>
      <c r="M7" t="s">
        <v>139</v>
      </c>
    </row>
    <row r="8" spans="1:17" x14ac:dyDescent="0.35">
      <c r="A8" t="s">
        <v>137</v>
      </c>
      <c r="B8" t="s">
        <v>139</v>
      </c>
      <c r="C8" t="s">
        <v>139</v>
      </c>
      <c r="D8" t="s">
        <v>139</v>
      </c>
      <c r="E8" t="s">
        <v>139</v>
      </c>
      <c r="F8" t="s">
        <v>139</v>
      </c>
      <c r="G8" t="s">
        <v>139</v>
      </c>
      <c r="H8" t="s">
        <v>139</v>
      </c>
      <c r="I8" t="s">
        <v>139</v>
      </c>
      <c r="J8" t="s">
        <v>139</v>
      </c>
      <c r="K8" t="s">
        <v>139</v>
      </c>
      <c r="L8" t="s">
        <v>139</v>
      </c>
      <c r="M8" t="s">
        <v>139</v>
      </c>
      <c r="N8" t="s">
        <v>139</v>
      </c>
      <c r="O8" t="s">
        <v>139</v>
      </c>
    </row>
    <row r="9" spans="1:17" x14ac:dyDescent="0.35">
      <c r="A9" t="s">
        <v>138</v>
      </c>
      <c r="B9" t="s">
        <v>139</v>
      </c>
      <c r="C9" t="s">
        <v>139</v>
      </c>
      <c r="D9" t="s">
        <v>139</v>
      </c>
      <c r="E9" t="s">
        <v>139</v>
      </c>
      <c r="F9" t="s">
        <v>139</v>
      </c>
      <c r="G9" t="s">
        <v>139</v>
      </c>
      <c r="H9" t="s">
        <v>139</v>
      </c>
      <c r="I9" t="s">
        <v>139</v>
      </c>
      <c r="J9" t="s">
        <v>139</v>
      </c>
      <c r="K9" t="s">
        <v>139</v>
      </c>
      <c r="L9" t="s">
        <v>139</v>
      </c>
      <c r="M9" t="s">
        <v>139</v>
      </c>
      <c r="N9" t="s">
        <v>139</v>
      </c>
      <c r="O9" t="s">
        <v>139</v>
      </c>
      <c r="P9" t="s">
        <v>139</v>
      </c>
      <c r="Q9" t="s">
        <v>139</v>
      </c>
    </row>
    <row r="12" spans="1:17" x14ac:dyDescent="0.35">
      <c r="A12" t="s">
        <v>140</v>
      </c>
      <c r="B12" t="s">
        <v>131</v>
      </c>
      <c r="C12" t="s">
        <v>132</v>
      </c>
      <c r="D12" t="s">
        <v>133</v>
      </c>
      <c r="E12" t="s">
        <v>134</v>
      </c>
      <c r="F12" t="s">
        <v>135</v>
      </c>
      <c r="G12" t="s">
        <v>136</v>
      </c>
      <c r="H12" t="s">
        <v>137</v>
      </c>
      <c r="I12" t="s">
        <v>138</v>
      </c>
    </row>
    <row r="13" spans="1:17" x14ac:dyDescent="0.35">
      <c r="A13" t="s">
        <v>141</v>
      </c>
      <c r="B13">
        <f xml:space="preserve"> 0 + IF(D2="",0,1)+ IF(F2="",0,1)+ IF(H2="",0,1)+ IF(J2="",0,1)+ IF(L2="",0,1)+ IF(N2="",0,1)+ IF(P2="",0,1)</f>
        <v>0</v>
      </c>
      <c r="C13">
        <f xml:space="preserve"> 0 + IF(F3="",0,1)+ IF(H3="",0,1)+ IF(J3="",0,1)+ IF(L3="",0,1)+ IF(N3="",0,1)+ IF(P3="",0,1)+ IF(E2="",0,1)</f>
        <v>0</v>
      </c>
      <c r="D13">
        <f xml:space="preserve"> 0 + IF(H4="",0,1)+ IF(J4="",0,1)+ IF(L4="",0,1)+ IF(N4="",0,1)+ IF(P4="",0,1)+ IF(G2="",0,1)+ IF(G3="",0,1)</f>
        <v>0</v>
      </c>
      <c r="E13">
        <f xml:space="preserve"> 0 + IF(J5="",0,1)+ IF(L5="",0,1)+ IF(N5="",0,1)+ IF(P5="",0,1)+ IF(I2="",0,1)+ IF(I3="",0,1)+ IF(I4="",0,1)</f>
        <v>0</v>
      </c>
      <c r="F13">
        <f xml:space="preserve"> 0 + IF(L6="",0,1)+ IF(N6="",0,1)+ IF(P6="",0,1)+ IF(K2="",0,1)+ IF(K3="",0,1)+ IF(K4="",0,1)+ IF(K5="",0,1)</f>
        <v>0</v>
      </c>
      <c r="G13">
        <f xml:space="preserve"> 0 + IF(N7="",0,1)+ IF(P7="",0,1)+ IF(M2="",0,1)+ IF(M3="",0,1)+ IF(M4="",0,1)+ IF(M5="",0,1)+ IF(M6="",0,1)</f>
        <v>0</v>
      </c>
      <c r="H13">
        <f xml:space="preserve"> 0 + IF(P8="",0,1)+ IF(O2="",0,1)+ IF(O3="",0,1)+ IF(O4="",0,1)+ IF(O5="",0,1)+ IF(O6="",0,1)+ IF(O7="",0,1)</f>
        <v>0</v>
      </c>
      <c r="I13">
        <f xml:space="preserve"> 0 + IF(Q2="",0,1)+ IF(Q3="",0,1)+ IF(Q4="",0,1)+ IF(Q5="",0,1)+ IF(Q6="",0,1)+ IF(Q7="",0,1)+ IF(Q8="",0,1)</f>
        <v>0</v>
      </c>
    </row>
    <row r="14" spans="1:17" x14ac:dyDescent="0.35">
      <c r="A14" t="s">
        <v>142</v>
      </c>
      <c r="B14">
        <f xml:space="preserve"> 0 + IF(D2&gt;E2,1,0)+ IF(F2&gt;G2,1,0)+ IF(H2&gt;I2,1,0)+ IF(J2&gt;K2,1,0)+ IF(L2&gt;M2,1,0)+ IF(N2&gt;O2,1,0)+ IF(P2&gt;Q2,1,0)</f>
        <v>0</v>
      </c>
      <c r="C14">
        <f xml:space="preserve"> 0 + IF(F3&gt;G3,1,0)+ IF(H3&gt;I3,1,0)+ IF(J3&gt;K3,1,0)+ IF(L3&gt;M3,1,0)+ IF(N3&gt;O3,1,0)+ IF(P3&gt;Q3,1,0)+ IF(E2&gt;D2,1,0)</f>
        <v>0</v>
      </c>
      <c r="D14">
        <f xml:space="preserve"> 0 + IF(H4&gt;I4,1,0)+ IF(J4&gt;K4,1,0)+ IF(L4&gt;M4,1,0)+ IF(N4&gt;O4,1,0)+ IF(P4&gt;Q4,1,0)+ IF(G2&gt;F2,1,0)+ IF(G3&gt;F3,1,0)</f>
        <v>0</v>
      </c>
      <c r="E14">
        <f xml:space="preserve"> 0 + IF(J5&gt;K5,1,0)+ IF(L5&gt;M5,1,0)+ IF(N5&gt;O5,1,0)+ IF(P5&gt;Q5,1,0)+ IF(I2&gt;H2,1,0)+ IF(I3&gt;H3,1,0)+ IF(I4&gt;H4,1,0)</f>
        <v>0</v>
      </c>
      <c r="F14">
        <f xml:space="preserve"> 0 + IF(L6&gt;M6,1,0)+ IF(N6&gt;O6,1,0)+ IF(P6&gt;Q6,1,0)+ IF(K2&gt;J2,1,0)+ IF(K3&gt;J3,1,0)+ IF(K4&gt;J4,1,0)+ IF(K5&gt;J5,1,0)</f>
        <v>0</v>
      </c>
      <c r="G14">
        <f xml:space="preserve"> 0 + IF(N7&gt;O7,1,0)+ IF(P7&gt;Q7,1,0)+ IF(M2&gt;L2,1,0)+ IF(M3&gt;L3,1,0)+ IF(M4&gt;L4,1,0)+ IF(M5&gt;L5,1,0)+ IF(M6&gt;L6,1,0)</f>
        <v>0</v>
      </c>
      <c r="H14">
        <f xml:space="preserve"> 0 + IF(P8&gt;Q8,1,0)+ IF(O2&gt;N2,1,0)+ IF(O3&gt;N3,1,0)+ IF(O4&gt;N4,1,0)+ IF(O5&gt;N5,1,0)+ IF(O6&gt;N6,1,0)+ IF(O7&gt;N7,1,0)</f>
        <v>0</v>
      </c>
      <c r="I14">
        <f xml:space="preserve"> 0 + IF(Q2&gt;P2,1,0)+ IF(Q3&gt;P3,1,0)+ IF(Q4&gt;P4,1,0)+ IF(Q5&gt;P5,1,0)+ IF(Q6&gt;P6,1,0)+ IF(Q7&gt;P7,1,0)+ IF(Q8&gt;P8,1,0)</f>
        <v>0</v>
      </c>
    </row>
    <row r="15" spans="1:17" x14ac:dyDescent="0.35">
      <c r="A15" t="s">
        <v>143</v>
      </c>
      <c r="B15">
        <f xml:space="preserve"> 0 + IF(D2="",0,1)*IF(D2=E2,1,0)+ IF(F2="",0,1)*IF(F2=G2,1,0)+ IF(H2="",0,1)*IF(H2=I2,1,0)+ IF(J2="",0,1)*IF(J2=K2,1,0)+ IF(L2="",0,1)*IF(L2=M2,1,0)+ IF(N2="",0,1)*IF(N2=O2,1,0)+ IF(P2="",0,1)*IF(P2=Q2,1,0)</f>
        <v>0</v>
      </c>
      <c r="C15">
        <f xml:space="preserve"> 0 + IF(F3="",0,1)*IF(F3=G3,1,0)+ IF(H3="",0,1)*IF(H3=I3,1,0)+ IF(J3="",0,1)*IF(J3=K3,1,0)+ IF(L3="",0,1)*IF(L3=M3,1,0)+ IF(N3="",0,1)*IF(N3=O3,1,0)+ IF(P3="",0,1)*IF(P3=Q3,1,0)+ IF(E2="",0,1)*IF(E2=D2,1,0)</f>
        <v>0</v>
      </c>
      <c r="D15">
        <f xml:space="preserve"> 0 + IF(H4="",0,1)*IF(H4=I4,1,0)+ IF(J4="",0,1)*IF(J4=K4,1,0)+ IF(L4="",0,1)*IF(L4=M4,1,0)+ IF(N4="",0,1)*IF(N4=O4,1,0)+ IF(P4="",0,1)*IF(P4=Q4,1,0)+ IF(G2="",0,1)*IF(G2=F2,1,0)+ IF(G3="",0,1)*IF(G3=F3,1,0)</f>
        <v>0</v>
      </c>
      <c r="E15">
        <f xml:space="preserve"> 0 + IF(J5="",0,1)*IF(J5=K5,1,0)+ IF(L5="",0,1)*IF(L5=M5,1,0)+ IF(N5="",0,1)*IF(N5=O5,1,0)+ IF(P5="",0,1)*IF(P5=Q5,1,0)+ IF(I2="",0,1)*IF(I2=H2,1,0)+ IF(I3="",0,1)*IF(I3=H3,1,0)+ IF(I4="",0,1)*IF(I4=H4,1,0)</f>
        <v>0</v>
      </c>
      <c r="F15">
        <f xml:space="preserve"> 0 + IF(L6="",0,1)*IF(L6=M6,1,0)+ IF(N6="",0,1)*IF(N6=O6,1,0)+ IF(P6="",0,1)*IF(P6=Q6,1,0)+ IF(K2="",0,1)*IF(K2=J2,1,0)+ IF(K3="",0,1)*IF(K3=J3,1,0)+ IF(K4="",0,1)*IF(K4=J4,1,0)+ IF(K5="",0,1)*IF(K5=J5,1,0)</f>
        <v>0</v>
      </c>
      <c r="G15">
        <f xml:space="preserve"> 0 + IF(N7="",0,1)*IF(N7=O7,1,0)+ IF(P7="",0,1)*IF(P7=Q7,1,0)+ IF(M2="",0,1)*IF(M2=L2,1,0)+ IF(M3="",0,1)*IF(M3=L3,1,0)+ IF(M4="",0,1)*IF(M4=L4,1,0)+ IF(M5="",0,1)*IF(M5=L5,1,0)+ IF(M6="",0,1)*IF(M6=L6,1,0)</f>
        <v>0</v>
      </c>
      <c r="H15">
        <f xml:space="preserve"> 0 + IF(P8="",0,1)*IF(P8=Q8,1,0)+ IF(O2="",0,1)*IF(O2=N2,1,0)+ IF(O3="",0,1)*IF(O3=N3,1,0)+ IF(O4="",0,1)*IF(O4=N4,1,0)+ IF(O5="",0,1)*IF(O5=N5,1,0)+ IF(O6="",0,1)*IF(O6=N6,1,0)+ IF(O7="",0,1)*IF(O7=N7,1,0)</f>
        <v>0</v>
      </c>
      <c r="I15">
        <f xml:space="preserve"> 0 + IF(Q2="",0,1)*IF(Q2=P2,1,0)+ IF(Q3="",0,1)*IF(Q3=P3,1,0)+ IF(Q4="",0,1)*IF(Q4=P4,1,0)+ IF(Q5="",0,1)*IF(Q5=P5,1,0)+ IF(Q6="",0,1)*IF(Q6=P6,1,0)+ IF(Q7="",0,1)*IF(Q7=P7,1,0)+ IF(Q8="",0,1)*IF(Q8=P8,1,0)</f>
        <v>0</v>
      </c>
    </row>
    <row r="16" spans="1:17" x14ac:dyDescent="0.35">
      <c r="A16" t="s">
        <v>144</v>
      </c>
      <c r="B16">
        <f xml:space="preserve"> 0 + IF(D2&lt;E2,1,0)+ IF(F2&lt;G2,1,0)+ IF(H2&lt;I2,1,0)+ IF(J2&lt;K2,1,0)+ IF(L2&lt;M2,1,0)+ IF(N2&lt;O2,1,0)+ IF(P2&lt;Q2,1,0)</f>
        <v>0</v>
      </c>
      <c r="C16">
        <f xml:space="preserve"> 0 + IF(F3&lt;G3,1,0)+ IF(H3&lt;I3,1,0)+ IF(J3&lt;K3,1,0)+ IF(L3&lt;M3,1,0)+ IF(N3&lt;O3,1,0)+ IF(P3&lt;Q3,1,0)+ IF(E2&lt;D2,1,0)</f>
        <v>0</v>
      </c>
      <c r="D16">
        <f xml:space="preserve"> 0 + IF(H4&lt;I4,1,0)+ IF(J4&lt;K4,1,0)+ IF(L4&lt;M4,1,0)+ IF(N4&lt;O4,1,0)+ IF(P4&lt;Q4,1,0)+ IF(G2&lt;F2,1,0)+ IF(G3&lt;F3,1,0)</f>
        <v>0</v>
      </c>
      <c r="E16">
        <f xml:space="preserve"> 0 + IF(J5&lt;K5,1,0)+ IF(L5&lt;M5,1,0)+ IF(N5&lt;O5,1,0)+ IF(P5&lt;Q5,1,0)+ IF(I2&lt;H2,1,0)+ IF(I3&lt;H3,1,0)+ IF(I4&lt;H4,1,0)</f>
        <v>0</v>
      </c>
      <c r="F16">
        <f xml:space="preserve"> 0 + IF(L6&lt;M6,1,0)+ IF(N6&lt;O6,1,0)+ IF(P6&lt;Q6,1,0)+ IF(K2&lt;J2,1,0)+ IF(K3&lt;J3,1,0)+ IF(K4&lt;J4,1,0)+ IF(K5&lt;J5,1,0)</f>
        <v>0</v>
      </c>
      <c r="G16">
        <f xml:space="preserve"> 0 + IF(N7&lt;O7,1,0)+ IF(P7&lt;Q7,1,0)+ IF(M2&lt;L2,1,0)+ IF(M3&lt;L3,1,0)+ IF(M4&lt;L4,1,0)+ IF(M5&lt;L5,1,0)+ IF(M6&lt;L6,1,0)</f>
        <v>0</v>
      </c>
      <c r="H16">
        <f xml:space="preserve"> 0 + IF(P8&lt;Q8,1,0)+ IF(O2&lt;N2,1,0)+ IF(O3&lt;N3,1,0)+ IF(O4&lt;N4,1,0)+ IF(O5&lt;N5,1,0)+ IF(O6&lt;N6,1,0)+ IF(O7&lt;N7,1,0)</f>
        <v>0</v>
      </c>
      <c r="I16">
        <f xml:space="preserve"> 0 + IF(Q2&lt;P2,1,0)+ IF(Q3&lt;P3,1,0)+ IF(Q4&lt;P4,1,0)+ IF(Q5&lt;P5,1,0)+ IF(Q6&lt;P6,1,0)+ IF(Q7&lt;P7,1,0)+ IF(Q8&lt;P8,1,0)</f>
        <v>0</v>
      </c>
    </row>
    <row r="17" spans="1:9" x14ac:dyDescent="0.35">
      <c r="A17" t="s">
        <v>145</v>
      </c>
      <c r="B17">
        <f xml:space="preserve"> 0 + IF(D2="",0,D2)+ IF(F2="",0,F2)+ IF(H2="",0,H2)+ IF(J2="",0,J2)+ IF(L2="",0,L2)+ IF(N2="",0,N2)+ IF(P2="",0,P2)</f>
        <v>0</v>
      </c>
      <c r="C17">
        <f xml:space="preserve"> 0 + IF(F3="",0,F3)+ IF(H3="",0,H3)+ IF(J3="",0,J3)+ IF(L3="",0,L3)+ IF(N3="",0,N3)+ IF(P3="",0,P3)+ IF(E2="",0,E2)</f>
        <v>0</v>
      </c>
      <c r="D17">
        <f xml:space="preserve"> 0 + IF(H4="",0,H4)+ IF(J4="",0,J4)+ IF(L4="",0,L4)+ IF(N4="",0,N4)+ IF(P4="",0,P4)+ IF(G2="",0,G2)+ IF(G3="",0,G3)</f>
        <v>0</v>
      </c>
      <c r="E17">
        <f xml:space="preserve"> 0 + IF(J5="",0,J5)+ IF(L5="",0,L5)+ IF(N5="",0,N5)+ IF(P5="",0,P5)+ IF(I2="",0,I2)+ IF(I3="",0,I3)+ IF(I4="",0,I4)</f>
        <v>0</v>
      </c>
      <c r="F17">
        <f xml:space="preserve"> 0 + IF(L6="",0,L6)+ IF(N6="",0,N6)+ IF(P6="",0,P6)+ IF(K2="",0,K2)+ IF(K3="",0,K3)+ IF(K4="",0,K4)+ IF(K5="",0,K5)</f>
        <v>0</v>
      </c>
      <c r="G17">
        <f xml:space="preserve"> 0 + IF(N7="",0,N7)+ IF(P7="",0,P7)+ IF(M2="",0,M2)+ IF(M3="",0,M3)+ IF(M4="",0,M4)+ IF(M5="",0,M5)+ IF(M6="",0,M6)</f>
        <v>0</v>
      </c>
      <c r="H17">
        <f xml:space="preserve"> 0 + IF(P8="",0,P8)+ IF(O2="",0,O2)+ IF(O3="",0,O3)+ IF(O4="",0,O4)+ IF(O5="",0,O5)+ IF(O6="",0,O6)+ IF(O7="",0,O7)</f>
        <v>0</v>
      </c>
      <c r="I17">
        <f xml:space="preserve"> 0 + IF(Q2="",0,Q2)+ IF(Q3="",0,Q3)+ IF(Q4="",0,Q4)+ IF(Q5="",0,Q5)+ IF(Q6="",0,Q6)+ IF(Q7="",0,Q7)+ IF(Q8="",0,Q8)</f>
        <v>0</v>
      </c>
    </row>
    <row r="18" spans="1:9" x14ac:dyDescent="0.35">
      <c r="A18" t="s">
        <v>146</v>
      </c>
      <c r="B18">
        <f xml:space="preserve"> 0 + IF(E2="",0,E2)+ IF(G2="",0,G2)+ IF(I2="",0,I2)+ IF(K2="",0,K2)+ IF(M2="",0,M2)+ IF(O2="",0,O2)+ IF(Q2="",0,Q2)</f>
        <v>0</v>
      </c>
      <c r="C18">
        <f xml:space="preserve"> 0 + IF(G3="",0,G3)+ IF(I3="",0,I3)+ IF(K3="",0,K3)+ IF(M3="",0,M3)+ IF(O3="",0,O3)+ IF(Q3="",0,Q3)+ IF(D2="",0,D2)</f>
        <v>0</v>
      </c>
      <c r="D18">
        <f xml:space="preserve"> 0 + IF(I4="",0,I4)+ IF(K4="",0,K4)+ IF(M4="",0,M4)+ IF(O4="",0,O4)+ IF(Q4="",0,Q4)+ IF(F2="",0,F2)+ IF(F3="",0,F3)</f>
        <v>0</v>
      </c>
      <c r="E18">
        <f xml:space="preserve"> 0 + IF(K5="",0,K5)+ IF(M5="",0,M5)+ IF(O5="",0,O5)+ IF(Q5="",0,Q5)+ IF(H2="",0,H2)+ IF(H3="",0,H3)+ IF(H4="",0,H4)</f>
        <v>0</v>
      </c>
      <c r="F18">
        <f xml:space="preserve"> 0 + IF(M6="",0,M6)+ IF(O6="",0,O6)+ IF(Q6="",0,Q6)+ IF(J2="",0,J2)+ IF(J3="",0,J3)+ IF(J4="",0,J4)+ IF(J5="",0,J5)</f>
        <v>0</v>
      </c>
      <c r="G18">
        <f xml:space="preserve"> 0 + IF(O7="",0,O7)+ IF(Q7="",0,Q7)+ IF(L2="",0,L2)+ IF(L3="",0,L3)+ IF(L4="",0,L4)+ IF(L5="",0,L5)+ IF(L6="",0,L6)</f>
        <v>0</v>
      </c>
      <c r="H18">
        <f xml:space="preserve"> 0 + IF(Q8="",0,Q8)+ IF(N2="",0,N2)+ IF(N3="",0,N3)+ IF(N4="",0,N4)+ IF(N5="",0,N5)+ IF(N6="",0,N6)+ IF(N7="",0,N7)</f>
        <v>0</v>
      </c>
      <c r="I18">
        <f xml:space="preserve"> 0 + IF(P2="",0,P2)+ IF(P3="",0,P3)+ IF(P4="",0,P4)+ IF(P5="",0,P5)+ IF(P6="",0,P6)+ IF(P7="",0,P7)+ IF(P8="",0,P8)</f>
        <v>0</v>
      </c>
    </row>
    <row r="19" spans="1:9" x14ac:dyDescent="0.35">
      <c r="A19" t="s">
        <v>147</v>
      </c>
      <c r="B19">
        <f>B17-B18</f>
        <v>0</v>
      </c>
      <c r="C19">
        <f>C17-C18</f>
        <v>0</v>
      </c>
      <c r="D19">
        <f>D17-D18</f>
        <v>0</v>
      </c>
      <c r="E19">
        <f>E17-E18</f>
        <v>0</v>
      </c>
      <c r="F19">
        <f>F17-F18</f>
        <v>0</v>
      </c>
      <c r="G19">
        <f>G17-G18</f>
        <v>0</v>
      </c>
      <c r="H19">
        <f>H17-H18</f>
        <v>0</v>
      </c>
      <c r="I19">
        <f>I17-I18</f>
        <v>0</v>
      </c>
    </row>
    <row r="20" spans="1:9" x14ac:dyDescent="0.35">
      <c r="A20" t="s">
        <v>148</v>
      </c>
      <c r="B20">
        <f>3*B14+B15</f>
        <v>0</v>
      </c>
      <c r="C20">
        <f>3*C14+C15</f>
        <v>0</v>
      </c>
      <c r="D20">
        <f>3*D14+D15</f>
        <v>0</v>
      </c>
      <c r="E20">
        <f>3*E14+E15</f>
        <v>0</v>
      </c>
      <c r="F20">
        <f>3*F14+F15</f>
        <v>0</v>
      </c>
      <c r="G20">
        <f>3*G14+G15</f>
        <v>0</v>
      </c>
      <c r="H20">
        <f>3*H14+H15</f>
        <v>0</v>
      </c>
      <c r="I20">
        <f>3*I14+I15</f>
        <v>0</v>
      </c>
    </row>
    <row r="21" spans="1:9" x14ac:dyDescent="0.35">
      <c r="A21" t="s">
        <v>149</v>
      </c>
      <c r="B21">
        <f>RANK(B20,B20:I20,0)</f>
        <v>1</v>
      </c>
      <c r="C21">
        <f>RANK(C20,B20:I20,0)</f>
        <v>1</v>
      </c>
      <c r="D21">
        <f>RANK(D20,B20:I20,0)</f>
        <v>1</v>
      </c>
      <c r="E21">
        <f>RANK(E20,B20:I20,0)</f>
        <v>1</v>
      </c>
      <c r="F21">
        <f>RANK(F20,B20:I20,0)</f>
        <v>1</v>
      </c>
      <c r="G21">
        <f>RANK(G20,B20:I20,0)</f>
        <v>1</v>
      </c>
      <c r="H21">
        <f>RANK(H20,B20:I20,0)</f>
        <v>1</v>
      </c>
      <c r="I21">
        <f>RANK(I20,B20:I20,0)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O20"/>
  <sheetViews>
    <sheetView workbookViewId="0">
      <selection activeCell="Q35" sqref="Q35"/>
    </sheetView>
  </sheetViews>
  <sheetFormatPr defaultRowHeight="14.5" x14ac:dyDescent="0.35"/>
  <cols>
    <col min="1" max="1" width="9.7265625" bestFit="1" customWidth="1"/>
    <col min="2" max="15" width="9.7265625" customWidth="1"/>
  </cols>
  <sheetData>
    <row r="1" spans="1:15" x14ac:dyDescent="0.35">
      <c r="C1" t="s">
        <v>150</v>
      </c>
      <c r="E1" t="s">
        <v>134</v>
      </c>
      <c r="G1" t="s">
        <v>135</v>
      </c>
      <c r="I1" t="s">
        <v>136</v>
      </c>
      <c r="K1" t="s">
        <v>151</v>
      </c>
      <c r="M1" t="s">
        <v>152</v>
      </c>
      <c r="O1" t="s">
        <v>153</v>
      </c>
    </row>
    <row r="2" spans="1:15" x14ac:dyDescent="0.35">
      <c r="A2" t="s">
        <v>150</v>
      </c>
      <c r="B2" t="s">
        <v>139</v>
      </c>
      <c r="C2" t="s">
        <v>139</v>
      </c>
    </row>
    <row r="3" spans="1:15" x14ac:dyDescent="0.35">
      <c r="A3" t="s">
        <v>134</v>
      </c>
      <c r="B3" t="s">
        <v>139</v>
      </c>
      <c r="C3" t="s">
        <v>139</v>
      </c>
      <c r="D3" t="s">
        <v>139</v>
      </c>
      <c r="E3" t="s">
        <v>139</v>
      </c>
    </row>
    <row r="4" spans="1:15" x14ac:dyDescent="0.35">
      <c r="A4" t="s">
        <v>135</v>
      </c>
      <c r="B4" t="s">
        <v>139</v>
      </c>
      <c r="C4" t="s">
        <v>139</v>
      </c>
      <c r="D4" t="s">
        <v>139</v>
      </c>
      <c r="E4" t="s">
        <v>139</v>
      </c>
      <c r="F4" t="s">
        <v>139</v>
      </c>
      <c r="G4" t="s">
        <v>139</v>
      </c>
    </row>
    <row r="5" spans="1:15" x14ac:dyDescent="0.35">
      <c r="A5" t="s">
        <v>136</v>
      </c>
      <c r="B5" t="s">
        <v>139</v>
      </c>
      <c r="C5" t="s">
        <v>139</v>
      </c>
      <c r="D5" t="s">
        <v>139</v>
      </c>
      <c r="E5" t="s">
        <v>139</v>
      </c>
      <c r="F5" t="s">
        <v>139</v>
      </c>
      <c r="G5" t="s">
        <v>139</v>
      </c>
      <c r="H5" t="s">
        <v>139</v>
      </c>
      <c r="I5" t="s">
        <v>139</v>
      </c>
    </row>
    <row r="6" spans="1:15" x14ac:dyDescent="0.35">
      <c r="A6" t="s">
        <v>151</v>
      </c>
      <c r="B6" t="s">
        <v>139</v>
      </c>
      <c r="C6" t="s">
        <v>139</v>
      </c>
      <c r="D6" t="s">
        <v>139</v>
      </c>
      <c r="E6" t="s">
        <v>139</v>
      </c>
      <c r="F6" t="s">
        <v>139</v>
      </c>
      <c r="G6" t="s">
        <v>139</v>
      </c>
      <c r="H6" t="s">
        <v>139</v>
      </c>
      <c r="I6" t="s">
        <v>139</v>
      </c>
      <c r="J6" t="s">
        <v>139</v>
      </c>
      <c r="K6" t="s">
        <v>139</v>
      </c>
    </row>
    <row r="7" spans="1:15" x14ac:dyDescent="0.35">
      <c r="A7" t="s">
        <v>152</v>
      </c>
      <c r="B7" t="s">
        <v>139</v>
      </c>
      <c r="C7" t="s">
        <v>139</v>
      </c>
      <c r="D7" t="s">
        <v>139</v>
      </c>
      <c r="E7" t="s">
        <v>139</v>
      </c>
      <c r="F7" t="s">
        <v>139</v>
      </c>
      <c r="G7" t="s">
        <v>139</v>
      </c>
      <c r="H7" t="s">
        <v>139</v>
      </c>
      <c r="I7" t="s">
        <v>139</v>
      </c>
      <c r="J7" t="s">
        <v>139</v>
      </c>
      <c r="K7" t="s">
        <v>139</v>
      </c>
      <c r="L7" t="s">
        <v>139</v>
      </c>
      <c r="M7" t="s">
        <v>139</v>
      </c>
    </row>
    <row r="8" spans="1:15" x14ac:dyDescent="0.35">
      <c r="A8" t="s">
        <v>153</v>
      </c>
      <c r="B8" t="s">
        <v>139</v>
      </c>
      <c r="C8" t="s">
        <v>139</v>
      </c>
      <c r="D8" t="s">
        <v>139</v>
      </c>
      <c r="E8" t="s">
        <v>139</v>
      </c>
      <c r="F8" t="s">
        <v>139</v>
      </c>
      <c r="G8" t="s">
        <v>139</v>
      </c>
      <c r="H8" t="s">
        <v>139</v>
      </c>
      <c r="I8" t="s">
        <v>139</v>
      </c>
      <c r="J8" t="s">
        <v>139</v>
      </c>
      <c r="K8" t="s">
        <v>139</v>
      </c>
      <c r="L8" t="s">
        <v>139</v>
      </c>
      <c r="M8" t="s">
        <v>139</v>
      </c>
      <c r="N8" t="s">
        <v>139</v>
      </c>
      <c r="O8" t="s">
        <v>139</v>
      </c>
    </row>
    <row r="11" spans="1:15" x14ac:dyDescent="0.35">
      <c r="A11" t="s">
        <v>140</v>
      </c>
      <c r="B11" t="s">
        <v>150</v>
      </c>
      <c r="C11" t="s">
        <v>134</v>
      </c>
      <c r="D11" t="s">
        <v>135</v>
      </c>
      <c r="E11" t="s">
        <v>136</v>
      </c>
      <c r="F11" t="s">
        <v>151</v>
      </c>
      <c r="G11" t="s">
        <v>152</v>
      </c>
      <c r="H11" t="s">
        <v>153</v>
      </c>
    </row>
    <row r="12" spans="1:15" x14ac:dyDescent="0.35">
      <c r="A12" t="s">
        <v>141</v>
      </c>
      <c r="B12">
        <f xml:space="preserve"> 0 + IF(D2="",0,1)+ IF(F2="",0,1)+ IF(H2="",0,1)+ IF(J2="",0,1)+ IF(L2="",0,1)+ IF(N2="",0,1)</f>
        <v>0</v>
      </c>
      <c r="C12">
        <f xml:space="preserve"> 0 + IF(F3="",0,1)+ IF(H3="",0,1)+ IF(J3="",0,1)+ IF(L3="",0,1)+ IF(N3="",0,1)+ IF(E2="",0,1)</f>
        <v>0</v>
      </c>
      <c r="D12">
        <f xml:space="preserve"> 0 + IF(H4="",0,1)+ IF(J4="",0,1)+ IF(L4="",0,1)+ IF(N4="",0,1)+ IF(G2="",0,1)+ IF(G3="",0,1)</f>
        <v>0</v>
      </c>
      <c r="E12">
        <f xml:space="preserve"> 0 + IF(J5="",0,1)+ IF(L5="",0,1)+ IF(N5="",0,1)+ IF(I2="",0,1)+ IF(I3="",0,1)+ IF(I4="",0,1)</f>
        <v>0</v>
      </c>
      <c r="F12">
        <f xml:space="preserve"> 0 + IF(L6="",0,1)+ IF(N6="",0,1)+ IF(K2="",0,1)+ IF(K3="",0,1)+ IF(K4="",0,1)+ IF(K5="",0,1)</f>
        <v>0</v>
      </c>
      <c r="G12">
        <f xml:space="preserve"> 0 + IF(N7="",0,1)+ IF(M2="",0,1)+ IF(M3="",0,1)+ IF(M4="",0,1)+ IF(M5="",0,1)+ IF(M6="",0,1)</f>
        <v>0</v>
      </c>
      <c r="H12">
        <f xml:space="preserve"> 0 + IF(O2="",0,1)+ IF(O3="",0,1)+ IF(O4="",0,1)+ IF(O5="",0,1)+ IF(O6="",0,1)+ IF(O7="",0,1)</f>
        <v>0</v>
      </c>
    </row>
    <row r="13" spans="1:15" x14ac:dyDescent="0.35">
      <c r="A13" t="s">
        <v>142</v>
      </c>
      <c r="B13">
        <f xml:space="preserve"> 0 + IF(D2&gt;E2,1,0)+ IF(F2&gt;G2,1,0)+ IF(H2&gt;I2,1,0)+ IF(J2&gt;K2,1,0)+ IF(L2&gt;M2,1,0)+ IF(N2&gt;O2,1,0)</f>
        <v>0</v>
      </c>
      <c r="C13">
        <f xml:space="preserve"> 0 + IF(F3&gt;G3,1,0)+ IF(H3&gt;I3,1,0)+ IF(J3&gt;K3,1,0)+ IF(L3&gt;M3,1,0)+ IF(N3&gt;O3,1,0)+ IF(E2&gt;D2,1,0)</f>
        <v>0</v>
      </c>
      <c r="D13">
        <f xml:space="preserve"> 0 + IF(H4&gt;I4,1,0)+ IF(J4&gt;K4,1,0)+ IF(L4&gt;M4,1,0)+ IF(N4&gt;O4,1,0)+ IF(G2&gt;F2,1,0)+ IF(G3&gt;F3,1,0)</f>
        <v>0</v>
      </c>
      <c r="E13">
        <f xml:space="preserve"> 0 + IF(J5&gt;K5,1,0)+ IF(L5&gt;M5,1,0)+ IF(N5&gt;O5,1,0)+ IF(I2&gt;H2,1,0)+ IF(I3&gt;H3,1,0)+ IF(I4&gt;H4,1,0)</f>
        <v>0</v>
      </c>
      <c r="F13">
        <f xml:space="preserve"> 0 + IF(L6&gt;M6,1,0)+ IF(N6&gt;O6,1,0)+ IF(K2&gt;J2,1,0)+ IF(K3&gt;J3,1,0)+ IF(K4&gt;J4,1,0)+ IF(K5&gt;J5,1,0)</f>
        <v>0</v>
      </c>
      <c r="G13">
        <f xml:space="preserve"> 0 + IF(N7&gt;O7,1,0)+ IF(M2&gt;L2,1,0)+ IF(M3&gt;L3,1,0)+ IF(M4&gt;L4,1,0)+ IF(M5&gt;L5,1,0)+ IF(M6&gt;L6,1,0)</f>
        <v>0</v>
      </c>
      <c r="H13">
        <f xml:space="preserve"> 0 + IF(O2&gt;N2,1,0)+ IF(O3&gt;N3,1,0)+ IF(O4&gt;N4,1,0)+ IF(O5&gt;N5,1,0)+ IF(O6&gt;N6,1,0)+ IF(O7&gt;N7,1,0)</f>
        <v>0</v>
      </c>
    </row>
    <row r="14" spans="1:15" x14ac:dyDescent="0.35">
      <c r="A14" t="s">
        <v>143</v>
      </c>
      <c r="B14">
        <f xml:space="preserve"> 0 + IF(D2="",0,1)*IF(D2=E2,1,0)+ IF(F2="",0,1)*IF(F2=G2,1,0)+ IF(H2="",0,1)*IF(H2=I2,1,0)+ IF(J2="",0,1)*IF(J2=K2,1,0)+ IF(L2="",0,1)*IF(L2=M2,1,0)+ IF(N2="",0,1)*IF(N2=O2,1,0)</f>
        <v>0</v>
      </c>
      <c r="C14">
        <f xml:space="preserve"> 0 + IF(F3="",0,1)*IF(F3=G3,1,0)+ IF(H3="",0,1)*IF(H3=I3,1,0)+ IF(J3="",0,1)*IF(J3=K3,1,0)+ IF(L3="",0,1)*IF(L3=M3,1,0)+ IF(N3="",0,1)*IF(N3=O3,1,0)+ IF(E2="",0,1)*IF(E2=D2,1,0)</f>
        <v>0</v>
      </c>
      <c r="D14">
        <f xml:space="preserve"> 0 + IF(H4="",0,1)*IF(H4=I4,1,0)+ IF(J4="",0,1)*IF(J4=K4,1,0)+ IF(L4="",0,1)*IF(L4=M4,1,0)+ IF(N4="",0,1)*IF(N4=O4,1,0)+ IF(G2="",0,1)*IF(G2=F2,1,0)+ IF(G3="",0,1)*IF(G3=F3,1,0)</f>
        <v>0</v>
      </c>
      <c r="E14">
        <f xml:space="preserve"> 0 + IF(J5="",0,1)*IF(J5=K5,1,0)+ IF(L5="",0,1)*IF(L5=M5,1,0)+ IF(N5="",0,1)*IF(N5=O5,1,0)+ IF(I2="",0,1)*IF(I2=H2,1,0)+ IF(I3="",0,1)*IF(I3=H3,1,0)+ IF(I4="",0,1)*IF(I4=H4,1,0)</f>
        <v>0</v>
      </c>
      <c r="F14">
        <f xml:space="preserve"> 0 + IF(L6="",0,1)*IF(L6=M6,1,0)+ IF(N6="",0,1)*IF(N6=O6,1,0)+ IF(K2="",0,1)*IF(K2=J2,1,0)+ IF(K3="",0,1)*IF(K3=J3,1,0)+ IF(K4="",0,1)*IF(K4=J4,1,0)+ IF(K5="",0,1)*IF(K5=J5,1,0)</f>
        <v>0</v>
      </c>
      <c r="G14">
        <f xml:space="preserve"> 0 + IF(N7="",0,1)*IF(N7=O7,1,0)+ IF(M2="",0,1)*IF(M2=L2,1,0)+ IF(M3="",0,1)*IF(M3=L3,1,0)+ IF(M4="",0,1)*IF(M4=L4,1,0)+ IF(M5="",0,1)*IF(M5=L5,1,0)+ IF(M6="",0,1)*IF(M6=L6,1,0)</f>
        <v>0</v>
      </c>
      <c r="H14">
        <f xml:space="preserve"> 0 + IF(O2="",0,1)*IF(O2=N2,1,0)+ IF(O3="",0,1)*IF(O3=N3,1,0)+ IF(O4="",0,1)*IF(O4=N4,1,0)+ IF(O5="",0,1)*IF(O5=N5,1,0)+ IF(O6="",0,1)*IF(O6=N6,1,0)+ IF(O7="",0,1)*IF(O7=N7,1,0)</f>
        <v>0</v>
      </c>
    </row>
    <row r="15" spans="1:15" x14ac:dyDescent="0.35">
      <c r="A15" t="s">
        <v>144</v>
      </c>
      <c r="B15">
        <f xml:space="preserve"> 0 + IF(D2&lt;E2,1,0)+ IF(F2&lt;G2,1,0)+ IF(H2&lt;I2,1,0)+ IF(J2&lt;K2,1,0)+ IF(L2&lt;M2,1,0)+ IF(N2&lt;O2,1,0)</f>
        <v>0</v>
      </c>
      <c r="C15">
        <f xml:space="preserve"> 0 + IF(F3&lt;G3,1,0)+ IF(H3&lt;I3,1,0)+ IF(J3&lt;K3,1,0)+ IF(L3&lt;M3,1,0)+ IF(N3&lt;O3,1,0)+ IF(E2&lt;D2,1,0)</f>
        <v>0</v>
      </c>
      <c r="D15">
        <f xml:space="preserve"> 0 + IF(H4&lt;I4,1,0)+ IF(J4&lt;K4,1,0)+ IF(L4&lt;M4,1,0)+ IF(N4&lt;O4,1,0)+ IF(G2&lt;F2,1,0)+ IF(G3&lt;F3,1,0)</f>
        <v>0</v>
      </c>
      <c r="E15">
        <f xml:space="preserve"> 0 + IF(J5&lt;K5,1,0)+ IF(L5&lt;M5,1,0)+ IF(N5&lt;O5,1,0)+ IF(I2&lt;H2,1,0)+ IF(I3&lt;H3,1,0)+ IF(I4&lt;H4,1,0)</f>
        <v>0</v>
      </c>
      <c r="F15">
        <f xml:space="preserve"> 0 + IF(L6&lt;M6,1,0)+ IF(N6&lt;O6,1,0)+ IF(K2&lt;J2,1,0)+ IF(K3&lt;J3,1,0)+ IF(K4&lt;J4,1,0)+ IF(K5&lt;J5,1,0)</f>
        <v>0</v>
      </c>
      <c r="G15">
        <f xml:space="preserve"> 0 + IF(N7&lt;O7,1,0)+ IF(M2&lt;L2,1,0)+ IF(M3&lt;L3,1,0)+ IF(M4&lt;L4,1,0)+ IF(M5&lt;L5,1,0)+ IF(M6&lt;L6,1,0)</f>
        <v>0</v>
      </c>
      <c r="H15">
        <f xml:space="preserve"> 0 + IF(O2&lt;N2,1,0)+ IF(O3&lt;N3,1,0)+ IF(O4&lt;N4,1,0)+ IF(O5&lt;N5,1,0)+ IF(O6&lt;N6,1,0)+ IF(O7&lt;N7,1,0)</f>
        <v>0</v>
      </c>
    </row>
    <row r="16" spans="1:15" x14ac:dyDescent="0.35">
      <c r="A16" t="s">
        <v>145</v>
      </c>
      <c r="B16">
        <f xml:space="preserve"> 0 + IF(D2="",0,D2)+ IF(F2="",0,F2)+ IF(H2="",0,H2)+ IF(J2="",0,J2)+ IF(L2="",0,L2)+ IF(N2="",0,N2)</f>
        <v>0</v>
      </c>
      <c r="C16">
        <f xml:space="preserve"> 0 + IF(F3="",0,F3)+ IF(H3="",0,H3)+ IF(J3="",0,J3)+ IF(L3="",0,L3)+ IF(N3="",0,N3)+ IF(E2="",0,E2)</f>
        <v>0</v>
      </c>
      <c r="D16">
        <f xml:space="preserve"> 0 + IF(H4="",0,H4)+ IF(J4="",0,J4)+ IF(L4="",0,L4)+ IF(N4="",0,N4)+ IF(G2="",0,G2)+ IF(G3="",0,G3)</f>
        <v>0</v>
      </c>
      <c r="E16">
        <f xml:space="preserve"> 0 + IF(J5="",0,J5)+ IF(L5="",0,L5)+ IF(N5="",0,N5)+ IF(I2="",0,I2)+ IF(I3="",0,I3)+ IF(I4="",0,I4)</f>
        <v>0</v>
      </c>
      <c r="F16">
        <f xml:space="preserve"> 0 + IF(L6="",0,L6)+ IF(N6="",0,N6)+ IF(K2="",0,K2)+ IF(K3="",0,K3)+ IF(K4="",0,K4)+ IF(K5="",0,K5)</f>
        <v>0</v>
      </c>
      <c r="G16">
        <f xml:space="preserve"> 0 + IF(N7="",0,N7)+ IF(M2="",0,M2)+ IF(M3="",0,M3)+ IF(M4="",0,M4)+ IF(M5="",0,M5)+ IF(M6="",0,M6)</f>
        <v>0</v>
      </c>
      <c r="H16">
        <f xml:space="preserve"> 0 + IF(O2="",0,O2)+ IF(O3="",0,O3)+ IF(O4="",0,O4)+ IF(O5="",0,O5)+ IF(O6="",0,O6)+ IF(O7="",0,O7)</f>
        <v>0</v>
      </c>
    </row>
    <row r="17" spans="1:8" x14ac:dyDescent="0.35">
      <c r="A17" t="s">
        <v>146</v>
      </c>
      <c r="B17">
        <f xml:space="preserve"> 0 + IF(E2="",0,E2)+ IF(G2="",0,G2)+ IF(I2="",0,I2)+ IF(K2="",0,K2)+ IF(M2="",0,M2)+ IF(O2="",0,O2)</f>
        <v>0</v>
      </c>
      <c r="C17">
        <f xml:space="preserve"> 0 + IF(G3="",0,G3)+ IF(I3="",0,I3)+ IF(K3="",0,K3)+ IF(M3="",0,M3)+ IF(O3="",0,O3)+ IF(D2="",0,D2)</f>
        <v>0</v>
      </c>
      <c r="D17">
        <f xml:space="preserve"> 0 + IF(I4="",0,I4)+ IF(K4="",0,K4)+ IF(M4="",0,M4)+ IF(O4="",0,O4)+ IF(F2="",0,F2)+ IF(F3="",0,F3)</f>
        <v>0</v>
      </c>
      <c r="E17">
        <f xml:space="preserve"> 0 + IF(K5="",0,K5)+ IF(M5="",0,M5)+ IF(O5="",0,O5)+ IF(H2="",0,H2)+ IF(H3="",0,H3)+ IF(H4="",0,H4)</f>
        <v>0</v>
      </c>
      <c r="F17">
        <f xml:space="preserve"> 0 + IF(M6="",0,M6)+ IF(O6="",0,O6)+ IF(J2="",0,J2)+ IF(J3="",0,J3)+ IF(J4="",0,J4)+ IF(J5="",0,J5)</f>
        <v>0</v>
      </c>
      <c r="G17">
        <f xml:space="preserve"> 0 + IF(O7="",0,O7)+ IF(L2="",0,L2)+ IF(L3="",0,L3)+ IF(L4="",0,L4)+ IF(L5="",0,L5)+ IF(L6="",0,L6)</f>
        <v>0</v>
      </c>
      <c r="H17">
        <f xml:space="preserve"> 0 + IF(N2="",0,N2)+ IF(N3="",0,N3)+ IF(N4="",0,N4)+ IF(N5="",0,N5)+ IF(N6="",0,N6)+ IF(N7="",0,N7)</f>
        <v>0</v>
      </c>
    </row>
    <row r="18" spans="1:8" x14ac:dyDescent="0.35">
      <c r="A18" t="s">
        <v>147</v>
      </c>
      <c r="B18">
        <f>B16-B17</f>
        <v>0</v>
      </c>
      <c r="C18">
        <f>C16-C17</f>
        <v>0</v>
      </c>
      <c r="D18">
        <f>D16-D17</f>
        <v>0</v>
      </c>
      <c r="E18">
        <f>E16-E17</f>
        <v>0</v>
      </c>
      <c r="F18">
        <f>F16-F17</f>
        <v>0</v>
      </c>
      <c r="G18">
        <f>G16-G17</f>
        <v>0</v>
      </c>
      <c r="H18">
        <f>H16-H17</f>
        <v>0</v>
      </c>
    </row>
    <row r="19" spans="1:8" x14ac:dyDescent="0.35">
      <c r="A19" t="s">
        <v>148</v>
      </c>
      <c r="B19">
        <f>3*B13+B14</f>
        <v>0</v>
      </c>
      <c r="C19">
        <f>3*C13+C14</f>
        <v>0</v>
      </c>
      <c r="D19">
        <f>3*D13+D14</f>
        <v>0</v>
      </c>
      <c r="E19">
        <f>3*E13+E14</f>
        <v>0</v>
      </c>
      <c r="F19">
        <f>3*F13+F14</f>
        <v>0</v>
      </c>
      <c r="G19">
        <f>3*G13+G14</f>
        <v>0</v>
      </c>
      <c r="H19">
        <f>3*H13+H14</f>
        <v>0</v>
      </c>
    </row>
    <row r="20" spans="1:8" x14ac:dyDescent="0.35">
      <c r="A20" t="s">
        <v>149</v>
      </c>
      <c r="B20">
        <f>RANK(B19,B19:H19,0)</f>
        <v>1</v>
      </c>
      <c r="C20">
        <f>RANK(C19,B19:H19,0)</f>
        <v>1</v>
      </c>
      <c r="D20">
        <f>RANK(D19,B19:H19,0)</f>
        <v>1</v>
      </c>
      <c r="E20">
        <f>RANK(E19,B19:H19,0)</f>
        <v>1</v>
      </c>
      <c r="F20">
        <f>RANK(F19,B19:H19,0)</f>
        <v>1</v>
      </c>
      <c r="G20">
        <f>RANK(G19,B19:H19,0)</f>
        <v>1</v>
      </c>
      <c r="H20">
        <f>RANK(H19,B19:H19,0)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Q21"/>
  <sheetViews>
    <sheetView workbookViewId="0">
      <selection activeCell="J19" sqref="J19"/>
    </sheetView>
  </sheetViews>
  <sheetFormatPr defaultRowHeight="14.5" x14ac:dyDescent="0.35"/>
  <cols>
    <col min="1" max="1" width="11.90625" bestFit="1" customWidth="1"/>
    <col min="2" max="17" width="9.1796875" customWidth="1"/>
  </cols>
  <sheetData>
    <row r="1" spans="1:17" x14ac:dyDescent="0.35">
      <c r="C1" t="s">
        <v>132</v>
      </c>
      <c r="E1" t="s">
        <v>154</v>
      </c>
      <c r="G1" t="s">
        <v>135</v>
      </c>
      <c r="I1" t="s">
        <v>137</v>
      </c>
      <c r="K1" t="s">
        <v>155</v>
      </c>
      <c r="M1" t="s">
        <v>138</v>
      </c>
      <c r="O1" t="s">
        <v>156</v>
      </c>
      <c r="Q1" t="s">
        <v>157</v>
      </c>
    </row>
    <row r="2" spans="1:17" x14ac:dyDescent="0.35">
      <c r="A2" t="s">
        <v>132</v>
      </c>
      <c r="B2" t="s">
        <v>139</v>
      </c>
      <c r="C2" t="s">
        <v>139</v>
      </c>
    </row>
    <row r="3" spans="1:17" x14ac:dyDescent="0.35">
      <c r="A3" t="s">
        <v>154</v>
      </c>
      <c r="B3" t="s">
        <v>139</v>
      </c>
      <c r="C3" t="s">
        <v>139</v>
      </c>
      <c r="D3" t="s">
        <v>139</v>
      </c>
      <c r="E3" t="s">
        <v>139</v>
      </c>
    </row>
    <row r="4" spans="1:17" x14ac:dyDescent="0.35">
      <c r="A4" t="s">
        <v>135</v>
      </c>
      <c r="B4" t="s">
        <v>139</v>
      </c>
      <c r="C4" t="s">
        <v>139</v>
      </c>
      <c r="D4" t="s">
        <v>139</v>
      </c>
      <c r="E4" t="s">
        <v>139</v>
      </c>
      <c r="F4" t="s">
        <v>139</v>
      </c>
      <c r="G4" t="s">
        <v>139</v>
      </c>
    </row>
    <row r="5" spans="1:17" x14ac:dyDescent="0.35">
      <c r="A5" t="s">
        <v>137</v>
      </c>
      <c r="B5" t="s">
        <v>139</v>
      </c>
      <c r="C5" t="s">
        <v>139</v>
      </c>
      <c r="D5" t="s">
        <v>139</v>
      </c>
      <c r="E5" t="s">
        <v>139</v>
      </c>
      <c r="F5" t="s">
        <v>139</v>
      </c>
      <c r="G5" t="s">
        <v>139</v>
      </c>
      <c r="H5" t="s">
        <v>139</v>
      </c>
      <c r="I5" t="s">
        <v>139</v>
      </c>
    </row>
    <row r="6" spans="1:17" x14ac:dyDescent="0.35">
      <c r="A6" t="s">
        <v>155</v>
      </c>
      <c r="B6" t="s">
        <v>139</v>
      </c>
      <c r="C6" t="s">
        <v>139</v>
      </c>
      <c r="D6" t="s">
        <v>139</v>
      </c>
      <c r="E6" t="s">
        <v>139</v>
      </c>
      <c r="F6" t="s">
        <v>139</v>
      </c>
      <c r="G6" t="s">
        <v>139</v>
      </c>
      <c r="H6" t="s">
        <v>139</v>
      </c>
      <c r="I6" t="s">
        <v>139</v>
      </c>
      <c r="J6" t="s">
        <v>139</v>
      </c>
      <c r="K6" t="s">
        <v>139</v>
      </c>
    </row>
    <row r="7" spans="1:17" x14ac:dyDescent="0.35">
      <c r="A7" t="s">
        <v>138</v>
      </c>
      <c r="B7" t="s">
        <v>139</v>
      </c>
      <c r="C7" t="s">
        <v>139</v>
      </c>
      <c r="D7" t="s">
        <v>139</v>
      </c>
      <c r="E7" t="s">
        <v>139</v>
      </c>
      <c r="F7" t="s">
        <v>139</v>
      </c>
      <c r="G7" t="s">
        <v>139</v>
      </c>
      <c r="H7" t="s">
        <v>139</v>
      </c>
      <c r="I7" t="s">
        <v>139</v>
      </c>
      <c r="J7" t="s">
        <v>139</v>
      </c>
      <c r="K7" t="s">
        <v>139</v>
      </c>
      <c r="L7" t="s">
        <v>139</v>
      </c>
      <c r="M7" t="s">
        <v>139</v>
      </c>
    </row>
    <row r="8" spans="1:17" x14ac:dyDescent="0.35">
      <c r="A8" t="s">
        <v>156</v>
      </c>
      <c r="B8" t="s">
        <v>139</v>
      </c>
      <c r="C8" t="s">
        <v>139</v>
      </c>
      <c r="D8" t="s">
        <v>139</v>
      </c>
      <c r="E8" t="s">
        <v>139</v>
      </c>
      <c r="F8" t="s">
        <v>139</v>
      </c>
      <c r="G8" t="s">
        <v>139</v>
      </c>
      <c r="H8" t="s">
        <v>139</v>
      </c>
      <c r="I8" t="s">
        <v>139</v>
      </c>
      <c r="J8" t="s">
        <v>139</v>
      </c>
      <c r="K8" t="s">
        <v>139</v>
      </c>
      <c r="L8" t="s">
        <v>139</v>
      </c>
      <c r="M8" t="s">
        <v>139</v>
      </c>
      <c r="N8" t="s">
        <v>139</v>
      </c>
      <c r="O8" t="s">
        <v>139</v>
      </c>
    </row>
    <row r="9" spans="1:17" x14ac:dyDescent="0.35">
      <c r="A9" t="s">
        <v>157</v>
      </c>
      <c r="B9" t="s">
        <v>139</v>
      </c>
      <c r="C9" t="s">
        <v>139</v>
      </c>
      <c r="D9" t="s">
        <v>139</v>
      </c>
      <c r="E9" t="s">
        <v>139</v>
      </c>
      <c r="F9" t="s">
        <v>139</v>
      </c>
      <c r="G9" t="s">
        <v>139</v>
      </c>
      <c r="H9" t="s">
        <v>139</v>
      </c>
      <c r="I9" t="s">
        <v>139</v>
      </c>
      <c r="J9" t="s">
        <v>139</v>
      </c>
      <c r="K9" t="s">
        <v>139</v>
      </c>
      <c r="L9" t="s">
        <v>139</v>
      </c>
      <c r="M9" t="s">
        <v>139</v>
      </c>
      <c r="N9" t="s">
        <v>139</v>
      </c>
      <c r="O9" t="s">
        <v>139</v>
      </c>
      <c r="P9" t="s">
        <v>139</v>
      </c>
      <c r="Q9" t="s">
        <v>139</v>
      </c>
    </row>
    <row r="12" spans="1:17" x14ac:dyDescent="0.35">
      <c r="A12" t="s">
        <v>140</v>
      </c>
      <c r="B12" t="s">
        <v>132</v>
      </c>
      <c r="C12" t="s">
        <v>154</v>
      </c>
      <c r="D12" t="s">
        <v>135</v>
      </c>
      <c r="E12" t="s">
        <v>137</v>
      </c>
      <c r="F12" t="s">
        <v>155</v>
      </c>
      <c r="G12" t="s">
        <v>138</v>
      </c>
      <c r="H12" t="s">
        <v>156</v>
      </c>
      <c r="I12" t="s">
        <v>157</v>
      </c>
    </row>
    <row r="13" spans="1:17" x14ac:dyDescent="0.35">
      <c r="A13" t="s">
        <v>141</v>
      </c>
      <c r="B13">
        <f xml:space="preserve"> 0 + IF(D2="",0,1)+ IF(F2="",0,1)+ IF(H2="",0,1)+ IF(J2="",0,1)+ IF(L2="",0,1)+ IF(N2="",0,1)+ IF(P2="",0,1)</f>
        <v>0</v>
      </c>
      <c r="C13">
        <f xml:space="preserve"> 0 + IF(F3="",0,1)+ IF(H3="",0,1)+ IF(J3="",0,1)+ IF(L3="",0,1)+ IF(N3="",0,1)+ IF(P3="",0,1)+ IF(E2="",0,1)</f>
        <v>0</v>
      </c>
      <c r="D13">
        <f xml:space="preserve"> 0 + IF(H4="",0,1)+ IF(J4="",0,1)+ IF(L4="",0,1)+ IF(N4="",0,1)+ IF(P4="",0,1)+ IF(G2="",0,1)+ IF(G3="",0,1)</f>
        <v>0</v>
      </c>
      <c r="E13">
        <f xml:space="preserve"> 0 + IF(J5="",0,1)+ IF(L5="",0,1)+ IF(N5="",0,1)+ IF(P5="",0,1)+ IF(I2="",0,1)+ IF(I3="",0,1)+ IF(I4="",0,1)</f>
        <v>0</v>
      </c>
      <c r="F13">
        <f xml:space="preserve"> 0 + IF(L6="",0,1)+ IF(N6="",0,1)+ IF(P6="",0,1)+ IF(K2="",0,1)+ IF(K3="",0,1)+ IF(K4="",0,1)+ IF(K5="",0,1)</f>
        <v>0</v>
      </c>
      <c r="G13">
        <f xml:space="preserve"> 0 + IF(N7="",0,1)+ IF(P7="",0,1)+ IF(M2="",0,1)+ IF(M3="",0,1)+ IF(M4="",0,1)+ IF(M5="",0,1)+ IF(M6="",0,1)</f>
        <v>0</v>
      </c>
      <c r="H13">
        <f xml:space="preserve"> 0 + IF(P8="",0,1)+ IF(O2="",0,1)+ IF(O3="",0,1)+ IF(O4="",0,1)+ IF(O5="",0,1)+ IF(O6="",0,1)+ IF(O7="",0,1)</f>
        <v>0</v>
      </c>
      <c r="I13">
        <f xml:space="preserve"> 0 + IF(Q2="",0,1)+ IF(Q3="",0,1)+ IF(Q4="",0,1)+ IF(Q5="",0,1)+ IF(Q6="",0,1)+ IF(Q7="",0,1)+ IF(Q8="",0,1)</f>
        <v>0</v>
      </c>
    </row>
    <row r="14" spans="1:17" x14ac:dyDescent="0.35">
      <c r="A14" t="s">
        <v>142</v>
      </c>
      <c r="B14">
        <f xml:space="preserve"> 0 + IF(D2&gt;E2,1,0)+ IF(F2&gt;G2,1,0)+ IF(H2&gt;I2,1,0)+ IF(J2&gt;K2,1,0)+ IF(L2&gt;M2,1,0)+ IF(N2&gt;O2,1,0)+ IF(P2&gt;Q2,1,0)</f>
        <v>0</v>
      </c>
      <c r="C14">
        <f xml:space="preserve"> 0 + IF(F3&gt;G3,1,0)+ IF(H3&gt;I3,1,0)+ IF(J3&gt;K3,1,0)+ IF(L3&gt;M3,1,0)+ IF(N3&gt;O3,1,0)+ IF(P3&gt;Q3,1,0)+ IF(E2&gt;D2,1,0)</f>
        <v>0</v>
      </c>
      <c r="D14">
        <f xml:space="preserve"> 0 + IF(H4&gt;I4,1,0)+ IF(J4&gt;K4,1,0)+ IF(L4&gt;M4,1,0)+ IF(N4&gt;O4,1,0)+ IF(P4&gt;Q4,1,0)+ IF(G2&gt;F2,1,0)+ IF(G3&gt;F3,1,0)</f>
        <v>0</v>
      </c>
      <c r="E14">
        <f xml:space="preserve"> 0 + IF(J5&gt;K5,1,0)+ IF(L5&gt;M5,1,0)+ IF(N5&gt;O5,1,0)+ IF(P5&gt;Q5,1,0)+ IF(I2&gt;H2,1,0)+ IF(I3&gt;H3,1,0)+ IF(I4&gt;H4,1,0)</f>
        <v>0</v>
      </c>
      <c r="F14">
        <f xml:space="preserve"> 0 + IF(L6&gt;M6,1,0)+ IF(N6&gt;O6,1,0)+ IF(P6&gt;Q6,1,0)+ IF(K2&gt;J2,1,0)+ IF(K3&gt;J3,1,0)+ IF(K4&gt;J4,1,0)+ IF(K5&gt;J5,1,0)</f>
        <v>0</v>
      </c>
      <c r="G14">
        <f xml:space="preserve"> 0 + IF(N7&gt;O7,1,0)+ IF(P7&gt;Q7,1,0)+ IF(M2&gt;L2,1,0)+ IF(M3&gt;L3,1,0)+ IF(M4&gt;L4,1,0)+ IF(M5&gt;L5,1,0)+ IF(M6&gt;L6,1,0)</f>
        <v>0</v>
      </c>
      <c r="H14">
        <f xml:space="preserve"> 0 + IF(P8&gt;Q8,1,0)+ IF(O2&gt;N2,1,0)+ IF(O3&gt;N3,1,0)+ IF(O4&gt;N4,1,0)+ IF(O5&gt;N5,1,0)+ IF(O6&gt;N6,1,0)+ IF(O7&gt;N7,1,0)</f>
        <v>0</v>
      </c>
      <c r="I14">
        <f xml:space="preserve"> 0 + IF(Q2&gt;P2,1,0)+ IF(Q3&gt;P3,1,0)+ IF(Q4&gt;P4,1,0)+ IF(Q5&gt;P5,1,0)+ IF(Q6&gt;P6,1,0)+ IF(Q7&gt;P7,1,0)+ IF(Q8&gt;P8,1,0)</f>
        <v>0</v>
      </c>
    </row>
    <row r="15" spans="1:17" x14ac:dyDescent="0.35">
      <c r="A15" t="s">
        <v>143</v>
      </c>
      <c r="B15">
        <f xml:space="preserve"> 0 + IF(D2="",0,1)*IF(D2=E2,1,0)+ IF(F2="",0,1)*IF(F2=G2,1,0)+ IF(H2="",0,1)*IF(H2=I2,1,0)+ IF(J2="",0,1)*IF(J2=K2,1,0)+ IF(L2="",0,1)*IF(L2=M2,1,0)+ IF(N2="",0,1)*IF(N2=O2,1,0)+ IF(P2="",0,1)*IF(P2=Q2,1,0)</f>
        <v>0</v>
      </c>
      <c r="C15">
        <f xml:space="preserve"> 0 + IF(F3="",0,1)*IF(F3=G3,1,0)+ IF(H3="",0,1)*IF(H3=I3,1,0)+ IF(J3="",0,1)*IF(J3=K3,1,0)+ IF(L3="",0,1)*IF(L3=M3,1,0)+ IF(N3="",0,1)*IF(N3=O3,1,0)+ IF(P3="",0,1)*IF(P3=Q3,1,0)+ IF(E2="",0,1)*IF(E2=D2,1,0)</f>
        <v>0</v>
      </c>
      <c r="D15">
        <f xml:space="preserve"> 0 + IF(H4="",0,1)*IF(H4=I4,1,0)+ IF(J4="",0,1)*IF(J4=K4,1,0)+ IF(L4="",0,1)*IF(L4=M4,1,0)+ IF(N4="",0,1)*IF(N4=O4,1,0)+ IF(P4="",0,1)*IF(P4=Q4,1,0)+ IF(G2="",0,1)*IF(G2=F2,1,0)+ IF(G3="",0,1)*IF(G3=F3,1,0)</f>
        <v>0</v>
      </c>
      <c r="E15">
        <f xml:space="preserve"> 0 + IF(J5="",0,1)*IF(J5=K5,1,0)+ IF(L5="",0,1)*IF(L5=M5,1,0)+ IF(N5="",0,1)*IF(N5=O5,1,0)+ IF(P5="",0,1)*IF(P5=Q5,1,0)+ IF(I2="",0,1)*IF(I2=H2,1,0)+ IF(I3="",0,1)*IF(I3=H3,1,0)+ IF(I4="",0,1)*IF(I4=H4,1,0)</f>
        <v>0</v>
      </c>
      <c r="F15">
        <f xml:space="preserve"> 0 + IF(L6="",0,1)*IF(L6=M6,1,0)+ IF(N6="",0,1)*IF(N6=O6,1,0)+ IF(P6="",0,1)*IF(P6=Q6,1,0)+ IF(K2="",0,1)*IF(K2=J2,1,0)+ IF(K3="",0,1)*IF(K3=J3,1,0)+ IF(K4="",0,1)*IF(K4=J4,1,0)+ IF(K5="",0,1)*IF(K5=J5,1,0)</f>
        <v>0</v>
      </c>
      <c r="G15">
        <f xml:space="preserve"> 0 + IF(N7="",0,1)*IF(N7=O7,1,0)+ IF(P7="",0,1)*IF(P7=Q7,1,0)+ IF(M2="",0,1)*IF(M2=L2,1,0)+ IF(M3="",0,1)*IF(M3=L3,1,0)+ IF(M4="",0,1)*IF(M4=L4,1,0)+ IF(M5="",0,1)*IF(M5=L5,1,0)+ IF(M6="",0,1)*IF(M6=L6,1,0)</f>
        <v>0</v>
      </c>
      <c r="H15">
        <f xml:space="preserve"> 0 + IF(P8="",0,1)*IF(P8=Q8,1,0)+ IF(O2="",0,1)*IF(O2=N2,1,0)+ IF(O3="",0,1)*IF(O3=N3,1,0)+ IF(O4="",0,1)*IF(O4=N4,1,0)+ IF(O5="",0,1)*IF(O5=N5,1,0)+ IF(O6="",0,1)*IF(O6=N6,1,0)+ IF(O7="",0,1)*IF(O7=N7,1,0)</f>
        <v>0</v>
      </c>
      <c r="I15">
        <f xml:space="preserve"> 0 + IF(Q2="",0,1)*IF(Q2=P2,1,0)+ IF(Q3="",0,1)*IF(Q3=P3,1,0)+ IF(Q4="",0,1)*IF(Q4=P4,1,0)+ IF(Q5="",0,1)*IF(Q5=P5,1,0)+ IF(Q6="",0,1)*IF(Q6=P6,1,0)+ IF(Q7="",0,1)*IF(Q7=P7,1,0)+ IF(Q8="",0,1)*IF(Q8=P8,1,0)</f>
        <v>0</v>
      </c>
    </row>
    <row r="16" spans="1:17" x14ac:dyDescent="0.35">
      <c r="A16" t="s">
        <v>144</v>
      </c>
      <c r="B16">
        <f xml:space="preserve"> 0 + IF(D2&lt;E2,1,0)+ IF(F2&lt;G2,1,0)+ IF(H2&lt;I2,1,0)+ IF(J2&lt;K2,1,0)+ IF(L2&lt;M2,1,0)+ IF(N2&lt;O2,1,0)+ IF(P2&lt;Q2,1,0)</f>
        <v>0</v>
      </c>
      <c r="C16">
        <f xml:space="preserve"> 0 + IF(F3&lt;G3,1,0)+ IF(H3&lt;I3,1,0)+ IF(J3&lt;K3,1,0)+ IF(L3&lt;M3,1,0)+ IF(N3&lt;O3,1,0)+ IF(P3&lt;Q3,1,0)+ IF(E2&lt;D2,1,0)</f>
        <v>0</v>
      </c>
      <c r="D16">
        <f xml:space="preserve"> 0 + IF(H4&lt;I4,1,0)+ IF(J4&lt;K4,1,0)+ IF(L4&lt;M4,1,0)+ IF(N4&lt;O4,1,0)+ IF(P4&lt;Q4,1,0)+ IF(G2&lt;F2,1,0)+ IF(G3&lt;F3,1,0)</f>
        <v>0</v>
      </c>
      <c r="E16">
        <f xml:space="preserve"> 0 + IF(J5&lt;K5,1,0)+ IF(L5&lt;M5,1,0)+ IF(N5&lt;O5,1,0)+ IF(P5&lt;Q5,1,0)+ IF(I2&lt;H2,1,0)+ IF(I3&lt;H3,1,0)+ IF(I4&lt;H4,1,0)</f>
        <v>0</v>
      </c>
      <c r="F16">
        <f xml:space="preserve"> 0 + IF(L6&lt;M6,1,0)+ IF(N6&lt;O6,1,0)+ IF(P6&lt;Q6,1,0)+ IF(K2&lt;J2,1,0)+ IF(K3&lt;J3,1,0)+ IF(K4&lt;J4,1,0)+ IF(K5&lt;J5,1,0)</f>
        <v>0</v>
      </c>
      <c r="G16">
        <f xml:space="preserve"> 0 + IF(N7&lt;O7,1,0)+ IF(P7&lt;Q7,1,0)+ IF(M2&lt;L2,1,0)+ IF(M3&lt;L3,1,0)+ IF(M4&lt;L4,1,0)+ IF(M5&lt;L5,1,0)+ IF(M6&lt;L6,1,0)</f>
        <v>0</v>
      </c>
      <c r="H16">
        <f xml:space="preserve"> 0 + IF(P8&lt;Q8,1,0)+ IF(O2&lt;N2,1,0)+ IF(O3&lt;N3,1,0)+ IF(O4&lt;N4,1,0)+ IF(O5&lt;N5,1,0)+ IF(O6&lt;N6,1,0)+ IF(O7&lt;N7,1,0)</f>
        <v>0</v>
      </c>
      <c r="I16">
        <f xml:space="preserve"> 0 + IF(Q2&lt;P2,1,0)+ IF(Q3&lt;P3,1,0)+ IF(Q4&lt;P4,1,0)+ IF(Q5&lt;P5,1,0)+ IF(Q6&lt;P6,1,0)+ IF(Q7&lt;P7,1,0)+ IF(Q8&lt;P8,1,0)</f>
        <v>0</v>
      </c>
    </row>
    <row r="17" spans="1:9" x14ac:dyDescent="0.35">
      <c r="A17" t="s">
        <v>145</v>
      </c>
      <c r="B17">
        <f xml:space="preserve"> 0 + IF(D2="",0,D2)+ IF(F2="",0,F2)+ IF(H2="",0,H2)+ IF(J2="",0,J2)+ IF(L2="",0,L2)+ IF(N2="",0,N2)+ IF(P2="",0,P2)</f>
        <v>0</v>
      </c>
      <c r="C17">
        <f xml:space="preserve"> 0 + IF(F3="",0,F3)+ IF(H3="",0,H3)+ IF(J3="",0,J3)+ IF(L3="",0,L3)+ IF(N3="",0,N3)+ IF(P3="",0,P3)+ IF(E2="",0,E2)</f>
        <v>0</v>
      </c>
      <c r="D17">
        <f xml:space="preserve"> 0 + IF(H4="",0,H4)+ IF(J4="",0,J4)+ IF(L4="",0,L4)+ IF(N4="",0,N4)+ IF(P4="",0,P4)+ IF(G2="",0,G2)+ IF(G3="",0,G3)</f>
        <v>0</v>
      </c>
      <c r="E17">
        <f xml:space="preserve"> 0 + IF(J5="",0,J5)+ IF(L5="",0,L5)+ IF(N5="",0,N5)+ IF(P5="",0,P5)+ IF(I2="",0,I2)+ IF(I3="",0,I3)+ IF(I4="",0,I4)</f>
        <v>0</v>
      </c>
      <c r="F17">
        <f xml:space="preserve"> 0 + IF(L6="",0,L6)+ IF(N6="",0,N6)+ IF(P6="",0,P6)+ IF(K2="",0,K2)+ IF(K3="",0,K3)+ IF(K4="",0,K4)+ IF(K5="",0,K5)</f>
        <v>0</v>
      </c>
      <c r="G17">
        <f xml:space="preserve"> 0 + IF(N7="",0,N7)+ IF(P7="",0,P7)+ IF(M2="",0,M2)+ IF(M3="",0,M3)+ IF(M4="",0,M4)+ IF(M5="",0,M5)+ IF(M6="",0,M6)</f>
        <v>0</v>
      </c>
      <c r="H17">
        <f xml:space="preserve"> 0 + IF(P8="",0,P8)+ IF(O2="",0,O2)+ IF(O3="",0,O3)+ IF(O4="",0,O4)+ IF(O5="",0,O5)+ IF(O6="",0,O6)+ IF(O7="",0,O7)</f>
        <v>0</v>
      </c>
      <c r="I17">
        <f xml:space="preserve"> 0 + IF(Q2="",0,Q2)+ IF(Q3="",0,Q3)+ IF(Q4="",0,Q4)+ IF(Q5="",0,Q5)+ IF(Q6="",0,Q6)+ IF(Q7="",0,Q7)+ IF(Q8="",0,Q8)</f>
        <v>0</v>
      </c>
    </row>
    <row r="18" spans="1:9" x14ac:dyDescent="0.35">
      <c r="A18" t="s">
        <v>146</v>
      </c>
      <c r="B18">
        <f xml:space="preserve"> 0 + IF(E2="",0,E2)+ IF(G2="",0,G2)+ IF(I2="",0,I2)+ IF(K2="",0,K2)+ IF(M2="",0,M2)+ IF(O2="",0,O2)+ IF(Q2="",0,Q2)</f>
        <v>0</v>
      </c>
      <c r="C18">
        <f xml:space="preserve"> 0 + IF(G3="",0,G3)+ IF(I3="",0,I3)+ IF(K3="",0,K3)+ IF(M3="",0,M3)+ IF(O3="",0,O3)+ IF(Q3="",0,Q3)+ IF(D2="",0,D2)</f>
        <v>0</v>
      </c>
      <c r="D18">
        <f xml:space="preserve"> 0 + IF(I4="",0,I4)+ IF(K4="",0,K4)+ IF(M4="",0,M4)+ IF(O4="",0,O4)+ IF(Q4="",0,Q4)+ IF(F2="",0,F2)+ IF(F3="",0,F3)</f>
        <v>0</v>
      </c>
      <c r="E18">
        <f xml:space="preserve"> 0 + IF(K5="",0,K5)+ IF(M5="",0,M5)+ IF(O5="",0,O5)+ IF(Q5="",0,Q5)+ IF(H2="",0,H2)+ IF(H3="",0,H3)+ IF(H4="",0,H4)</f>
        <v>0</v>
      </c>
      <c r="F18">
        <f xml:space="preserve"> 0 + IF(M6="",0,M6)+ IF(O6="",0,O6)+ IF(Q6="",0,Q6)+ IF(J2="",0,J2)+ IF(J3="",0,J3)+ IF(J4="",0,J4)+ IF(J5="",0,J5)</f>
        <v>0</v>
      </c>
      <c r="G18">
        <f xml:space="preserve"> 0 + IF(O7="",0,O7)+ IF(Q7="",0,Q7)+ IF(L2="",0,L2)+ IF(L3="",0,L3)+ IF(L4="",0,L4)+ IF(L5="",0,L5)+ IF(L6="",0,L6)</f>
        <v>0</v>
      </c>
      <c r="H18">
        <f xml:space="preserve"> 0 + IF(Q8="",0,Q8)+ IF(N2="",0,N2)+ IF(N3="",0,N3)+ IF(N4="",0,N4)+ IF(N5="",0,N5)+ IF(N6="",0,N6)+ IF(N7="",0,N7)</f>
        <v>0</v>
      </c>
      <c r="I18">
        <f xml:space="preserve"> 0 + IF(P2="",0,P2)+ IF(P3="",0,P3)+ IF(P4="",0,P4)+ IF(P5="",0,P5)+ IF(P6="",0,P6)+ IF(P7="",0,P7)+ IF(P8="",0,P8)</f>
        <v>0</v>
      </c>
    </row>
    <row r="19" spans="1:9" x14ac:dyDescent="0.35">
      <c r="A19" t="s">
        <v>147</v>
      </c>
      <c r="B19">
        <f>B17-B18</f>
        <v>0</v>
      </c>
      <c r="C19">
        <f>C17-C18</f>
        <v>0</v>
      </c>
      <c r="D19">
        <f>D17-D18</f>
        <v>0</v>
      </c>
      <c r="E19">
        <f>E17-E18</f>
        <v>0</v>
      </c>
      <c r="F19">
        <f>F17-F18</f>
        <v>0</v>
      </c>
      <c r="G19">
        <f>G17-G18</f>
        <v>0</v>
      </c>
      <c r="H19">
        <f>H17-H18</f>
        <v>0</v>
      </c>
      <c r="I19">
        <f>I17-I18</f>
        <v>0</v>
      </c>
    </row>
    <row r="20" spans="1:9" x14ac:dyDescent="0.35">
      <c r="A20" t="s">
        <v>148</v>
      </c>
      <c r="B20">
        <f>3*B14+B15</f>
        <v>0</v>
      </c>
      <c r="C20">
        <f>3*C14+C15</f>
        <v>0</v>
      </c>
      <c r="D20">
        <f>3*D14+D15</f>
        <v>0</v>
      </c>
      <c r="E20">
        <f>3*E14+E15</f>
        <v>0</v>
      </c>
      <c r="F20">
        <f>3*F14+F15</f>
        <v>0</v>
      </c>
      <c r="G20">
        <f>3*G14+G15</f>
        <v>0</v>
      </c>
      <c r="H20">
        <f>3*H14+H15</f>
        <v>0</v>
      </c>
      <c r="I20">
        <f>3*I14+I15</f>
        <v>0</v>
      </c>
    </row>
    <row r="21" spans="1:9" x14ac:dyDescent="0.35">
      <c r="A21" t="s">
        <v>149</v>
      </c>
      <c r="B21">
        <f>RANK(B20,B20:I20,0)</f>
        <v>1</v>
      </c>
      <c r="C21">
        <f>RANK(C20,B20:I20,0)</f>
        <v>1</v>
      </c>
      <c r="D21">
        <f>RANK(D20,B20:I20,0)</f>
        <v>1</v>
      </c>
      <c r="E21">
        <f>RANK(E20,B20:I20,0)</f>
        <v>1</v>
      </c>
      <c r="F21">
        <f>RANK(F20,B20:I20,0)</f>
        <v>1</v>
      </c>
      <c r="G21">
        <f>RANK(G20,B20:I20,0)</f>
        <v>1</v>
      </c>
      <c r="H21">
        <f>RANK(H20,B20:I20,0)</f>
        <v>1</v>
      </c>
      <c r="I21">
        <f>RANK(I20,B20:I20,0)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Q21"/>
  <sheetViews>
    <sheetView workbookViewId="0">
      <selection activeCell="N25" sqref="N25"/>
    </sheetView>
  </sheetViews>
  <sheetFormatPr defaultRowHeight="14.5" x14ac:dyDescent="0.35"/>
  <cols>
    <col min="1" max="1" width="12.90625" bestFit="1" customWidth="1"/>
    <col min="2" max="17" width="9.26953125" customWidth="1"/>
  </cols>
  <sheetData>
    <row r="1" spans="1:17" x14ac:dyDescent="0.35">
      <c r="C1" t="s">
        <v>158</v>
      </c>
      <c r="E1" t="s">
        <v>159</v>
      </c>
      <c r="G1" t="s">
        <v>160</v>
      </c>
      <c r="I1" t="s">
        <v>134</v>
      </c>
      <c r="K1" t="s">
        <v>136</v>
      </c>
      <c r="M1" t="s">
        <v>161</v>
      </c>
      <c r="O1" t="s">
        <v>162</v>
      </c>
      <c r="Q1" t="s">
        <v>163</v>
      </c>
    </row>
    <row r="2" spans="1:17" x14ac:dyDescent="0.35">
      <c r="A2" t="s">
        <v>158</v>
      </c>
      <c r="B2" t="s">
        <v>139</v>
      </c>
      <c r="C2" t="s">
        <v>139</v>
      </c>
    </row>
    <row r="3" spans="1:17" x14ac:dyDescent="0.35">
      <c r="A3" t="s">
        <v>159</v>
      </c>
      <c r="B3" t="s">
        <v>139</v>
      </c>
      <c r="C3" t="s">
        <v>139</v>
      </c>
      <c r="D3" t="s">
        <v>139</v>
      </c>
      <c r="E3" t="s">
        <v>139</v>
      </c>
    </row>
    <row r="4" spans="1:17" x14ac:dyDescent="0.35">
      <c r="A4" t="s">
        <v>160</v>
      </c>
      <c r="B4" t="s">
        <v>139</v>
      </c>
      <c r="C4" t="s">
        <v>139</v>
      </c>
      <c r="D4" t="s">
        <v>139</v>
      </c>
      <c r="E4" t="s">
        <v>139</v>
      </c>
      <c r="F4" t="s">
        <v>139</v>
      </c>
      <c r="G4" t="s">
        <v>139</v>
      </c>
    </row>
    <row r="5" spans="1:17" x14ac:dyDescent="0.35">
      <c r="A5" t="s">
        <v>134</v>
      </c>
      <c r="B5" t="s">
        <v>139</v>
      </c>
      <c r="C5" t="s">
        <v>139</v>
      </c>
      <c r="D5" t="s">
        <v>139</v>
      </c>
      <c r="E5" t="s">
        <v>139</v>
      </c>
      <c r="F5" t="s">
        <v>139</v>
      </c>
      <c r="G5" t="s">
        <v>139</v>
      </c>
      <c r="H5" t="s">
        <v>139</v>
      </c>
      <c r="I5" t="s">
        <v>139</v>
      </c>
    </row>
    <row r="6" spans="1:17" x14ac:dyDescent="0.35">
      <c r="A6" t="s">
        <v>136</v>
      </c>
      <c r="B6" t="s">
        <v>139</v>
      </c>
      <c r="C6" t="s">
        <v>139</v>
      </c>
      <c r="D6" t="s">
        <v>139</v>
      </c>
      <c r="E6" t="s">
        <v>139</v>
      </c>
      <c r="F6" t="s">
        <v>139</v>
      </c>
      <c r="G6" t="s">
        <v>139</v>
      </c>
      <c r="H6" t="s">
        <v>139</v>
      </c>
      <c r="I6" t="s">
        <v>139</v>
      </c>
      <c r="J6" t="s">
        <v>139</v>
      </c>
      <c r="K6" t="s">
        <v>139</v>
      </c>
    </row>
    <row r="7" spans="1:17" x14ac:dyDescent="0.35">
      <c r="A7" t="s">
        <v>161</v>
      </c>
      <c r="B7" t="s">
        <v>139</v>
      </c>
      <c r="C7" t="s">
        <v>139</v>
      </c>
      <c r="D7" t="s">
        <v>139</v>
      </c>
      <c r="E7" t="s">
        <v>139</v>
      </c>
      <c r="F7" t="s">
        <v>139</v>
      </c>
      <c r="G7" t="s">
        <v>139</v>
      </c>
      <c r="H7" t="s">
        <v>139</v>
      </c>
      <c r="I7" t="s">
        <v>139</v>
      </c>
      <c r="J7" t="s">
        <v>139</v>
      </c>
      <c r="K7" t="s">
        <v>139</v>
      </c>
      <c r="L7" t="s">
        <v>139</v>
      </c>
      <c r="M7" t="s">
        <v>139</v>
      </c>
    </row>
    <row r="8" spans="1:17" x14ac:dyDescent="0.35">
      <c r="A8" t="s">
        <v>162</v>
      </c>
      <c r="B8" t="s">
        <v>139</v>
      </c>
      <c r="C8" t="s">
        <v>139</v>
      </c>
      <c r="D8" t="s">
        <v>139</v>
      </c>
      <c r="E8" t="s">
        <v>139</v>
      </c>
      <c r="F8" t="s">
        <v>139</v>
      </c>
      <c r="G8" t="s">
        <v>139</v>
      </c>
      <c r="H8" t="s">
        <v>139</v>
      </c>
      <c r="I8" t="s">
        <v>139</v>
      </c>
      <c r="J8" t="s">
        <v>139</v>
      </c>
      <c r="K8" t="s">
        <v>139</v>
      </c>
      <c r="L8" t="s">
        <v>139</v>
      </c>
      <c r="M8" t="s">
        <v>139</v>
      </c>
      <c r="N8" t="s">
        <v>139</v>
      </c>
      <c r="O8" t="s">
        <v>139</v>
      </c>
    </row>
    <row r="9" spans="1:17" x14ac:dyDescent="0.35">
      <c r="A9" t="s">
        <v>163</v>
      </c>
      <c r="B9" t="s">
        <v>139</v>
      </c>
      <c r="C9" t="s">
        <v>139</v>
      </c>
      <c r="D9" t="s">
        <v>139</v>
      </c>
      <c r="E9" t="s">
        <v>139</v>
      </c>
      <c r="F9" t="s">
        <v>139</v>
      </c>
      <c r="G9" t="s">
        <v>139</v>
      </c>
      <c r="H9" t="s">
        <v>139</v>
      </c>
      <c r="I9" t="s">
        <v>139</v>
      </c>
      <c r="J9" t="s">
        <v>139</v>
      </c>
      <c r="K9" t="s">
        <v>139</v>
      </c>
      <c r="L9" t="s">
        <v>139</v>
      </c>
      <c r="M9" t="s">
        <v>139</v>
      </c>
      <c r="N9" t="s">
        <v>139</v>
      </c>
      <c r="O9" t="s">
        <v>139</v>
      </c>
      <c r="P9" t="s">
        <v>139</v>
      </c>
      <c r="Q9" t="s">
        <v>139</v>
      </c>
    </row>
    <row r="12" spans="1:17" x14ac:dyDescent="0.35">
      <c r="A12" t="s">
        <v>140</v>
      </c>
      <c r="B12" t="s">
        <v>158</v>
      </c>
      <c r="C12" t="s">
        <v>159</v>
      </c>
      <c r="D12" t="s">
        <v>160</v>
      </c>
      <c r="E12" t="s">
        <v>134</v>
      </c>
      <c r="F12" t="s">
        <v>136</v>
      </c>
      <c r="G12" t="s">
        <v>161</v>
      </c>
      <c r="H12" t="s">
        <v>162</v>
      </c>
      <c r="I12" t="s">
        <v>163</v>
      </c>
    </row>
    <row r="13" spans="1:17" x14ac:dyDescent="0.35">
      <c r="A13" t="s">
        <v>141</v>
      </c>
      <c r="B13">
        <f xml:space="preserve"> 0 + IF(D2="",0,1)+ IF(F2="",0,1)+ IF(H2="",0,1)+ IF(J2="",0,1)+ IF(L2="",0,1)+ IF(N2="",0,1)+ IF(P2="",0,1)</f>
        <v>0</v>
      </c>
      <c r="C13">
        <f xml:space="preserve"> 0 + IF(F3="",0,1)+ IF(H3="",0,1)+ IF(J3="",0,1)+ IF(L3="",0,1)+ IF(N3="",0,1)+ IF(P3="",0,1)+ IF(E2="",0,1)</f>
        <v>0</v>
      </c>
      <c r="D13">
        <f xml:space="preserve"> 0 + IF(H4="",0,1)+ IF(J4="",0,1)+ IF(L4="",0,1)+ IF(N4="",0,1)+ IF(P4="",0,1)+ IF(G2="",0,1)+ IF(G3="",0,1)</f>
        <v>0</v>
      </c>
      <c r="E13">
        <f xml:space="preserve"> 0 + IF(J5="",0,1)+ IF(L5="",0,1)+ IF(N5="",0,1)+ IF(P5="",0,1)+ IF(I2="",0,1)+ IF(I3="",0,1)+ IF(I4="",0,1)</f>
        <v>0</v>
      </c>
      <c r="F13">
        <f xml:space="preserve"> 0 + IF(L6="",0,1)+ IF(N6="",0,1)+ IF(P6="",0,1)+ IF(K2="",0,1)+ IF(K3="",0,1)+ IF(K4="",0,1)+ IF(K5="",0,1)</f>
        <v>0</v>
      </c>
      <c r="G13">
        <f xml:space="preserve"> 0 + IF(N7="",0,1)+ IF(P7="",0,1)+ IF(M2="",0,1)+ IF(M3="",0,1)+ IF(M4="",0,1)+ IF(M5="",0,1)+ IF(M6="",0,1)</f>
        <v>0</v>
      </c>
      <c r="H13">
        <f xml:space="preserve"> 0 + IF(P8="",0,1)+ IF(O2="",0,1)+ IF(O3="",0,1)+ IF(O4="",0,1)+ IF(O5="",0,1)+ IF(O6="",0,1)+ IF(O7="",0,1)</f>
        <v>0</v>
      </c>
      <c r="I13">
        <f xml:space="preserve"> 0 + IF(Q2="",0,1)+ IF(Q3="",0,1)+ IF(Q4="",0,1)+ IF(Q5="",0,1)+ IF(Q6="",0,1)+ IF(Q7="",0,1)+ IF(Q8="",0,1)</f>
        <v>0</v>
      </c>
    </row>
    <row r="14" spans="1:17" x14ac:dyDescent="0.35">
      <c r="A14" t="s">
        <v>142</v>
      </c>
      <c r="B14">
        <f xml:space="preserve"> 0 + IF(D2&gt;E2,1,0)+ IF(F2&gt;G2,1,0)+ IF(H2&gt;I2,1,0)+ IF(J2&gt;K2,1,0)+ IF(L2&gt;M2,1,0)+ IF(N2&gt;O2,1,0)+ IF(P2&gt;Q2,1,0)</f>
        <v>0</v>
      </c>
      <c r="C14">
        <f xml:space="preserve"> 0 + IF(F3&gt;G3,1,0)+ IF(H3&gt;I3,1,0)+ IF(J3&gt;K3,1,0)+ IF(L3&gt;M3,1,0)+ IF(N3&gt;O3,1,0)+ IF(P3&gt;Q3,1,0)+ IF(E2&gt;D2,1,0)</f>
        <v>0</v>
      </c>
      <c r="D14">
        <f xml:space="preserve"> 0 + IF(H4&gt;I4,1,0)+ IF(J4&gt;K4,1,0)+ IF(L4&gt;M4,1,0)+ IF(N4&gt;O4,1,0)+ IF(P4&gt;Q4,1,0)+ IF(G2&gt;F2,1,0)+ IF(G3&gt;F3,1,0)</f>
        <v>0</v>
      </c>
      <c r="E14">
        <f xml:space="preserve"> 0 + IF(J5&gt;K5,1,0)+ IF(L5&gt;M5,1,0)+ IF(N5&gt;O5,1,0)+ IF(P5&gt;Q5,1,0)+ IF(I2&gt;H2,1,0)+ IF(I3&gt;H3,1,0)+ IF(I4&gt;H4,1,0)</f>
        <v>0</v>
      </c>
      <c r="F14">
        <f xml:space="preserve"> 0 + IF(L6&gt;M6,1,0)+ IF(N6&gt;O6,1,0)+ IF(P6&gt;Q6,1,0)+ IF(K2&gt;J2,1,0)+ IF(K3&gt;J3,1,0)+ IF(K4&gt;J4,1,0)+ IF(K5&gt;J5,1,0)</f>
        <v>0</v>
      </c>
      <c r="G14">
        <f xml:space="preserve"> 0 + IF(N7&gt;O7,1,0)+ IF(P7&gt;Q7,1,0)+ IF(M2&gt;L2,1,0)+ IF(M3&gt;L3,1,0)+ IF(M4&gt;L4,1,0)+ IF(M5&gt;L5,1,0)+ IF(M6&gt;L6,1,0)</f>
        <v>0</v>
      </c>
      <c r="H14">
        <f xml:space="preserve"> 0 + IF(P8&gt;Q8,1,0)+ IF(O2&gt;N2,1,0)+ IF(O3&gt;N3,1,0)+ IF(O4&gt;N4,1,0)+ IF(O5&gt;N5,1,0)+ IF(O6&gt;N6,1,0)+ IF(O7&gt;N7,1,0)</f>
        <v>0</v>
      </c>
      <c r="I14">
        <f xml:space="preserve"> 0 + IF(Q2&gt;P2,1,0)+ IF(Q3&gt;P3,1,0)+ IF(Q4&gt;P4,1,0)+ IF(Q5&gt;P5,1,0)+ IF(Q6&gt;P6,1,0)+ IF(Q7&gt;P7,1,0)+ IF(Q8&gt;P8,1,0)</f>
        <v>0</v>
      </c>
    </row>
    <row r="15" spans="1:17" x14ac:dyDescent="0.35">
      <c r="A15" t="s">
        <v>143</v>
      </c>
      <c r="B15">
        <f xml:space="preserve"> 0 + IF(D2="",0,1)*IF(D2=E2,1,0)+ IF(F2="",0,1)*IF(F2=G2,1,0)+ IF(H2="",0,1)*IF(H2=I2,1,0)+ IF(J2="",0,1)*IF(J2=K2,1,0)+ IF(L2="",0,1)*IF(L2=M2,1,0)+ IF(N2="",0,1)*IF(N2=O2,1,0)+ IF(P2="",0,1)*IF(P2=Q2,1,0)</f>
        <v>0</v>
      </c>
      <c r="C15">
        <f xml:space="preserve"> 0 + IF(F3="",0,1)*IF(F3=G3,1,0)+ IF(H3="",0,1)*IF(H3=I3,1,0)+ IF(J3="",0,1)*IF(J3=K3,1,0)+ IF(L3="",0,1)*IF(L3=M3,1,0)+ IF(N3="",0,1)*IF(N3=O3,1,0)+ IF(P3="",0,1)*IF(P3=Q3,1,0)+ IF(E2="",0,1)*IF(E2=D2,1,0)</f>
        <v>0</v>
      </c>
      <c r="D15">
        <f xml:space="preserve"> 0 + IF(H4="",0,1)*IF(H4=I4,1,0)+ IF(J4="",0,1)*IF(J4=K4,1,0)+ IF(L4="",0,1)*IF(L4=M4,1,0)+ IF(N4="",0,1)*IF(N4=O4,1,0)+ IF(P4="",0,1)*IF(P4=Q4,1,0)+ IF(G2="",0,1)*IF(G2=F2,1,0)+ IF(G3="",0,1)*IF(G3=F3,1,0)</f>
        <v>0</v>
      </c>
      <c r="E15">
        <f xml:space="preserve"> 0 + IF(J5="",0,1)*IF(J5=K5,1,0)+ IF(L5="",0,1)*IF(L5=M5,1,0)+ IF(N5="",0,1)*IF(N5=O5,1,0)+ IF(P5="",0,1)*IF(P5=Q5,1,0)+ IF(I2="",0,1)*IF(I2=H2,1,0)+ IF(I3="",0,1)*IF(I3=H3,1,0)+ IF(I4="",0,1)*IF(I4=H4,1,0)</f>
        <v>0</v>
      </c>
      <c r="F15">
        <f xml:space="preserve"> 0 + IF(L6="",0,1)*IF(L6=M6,1,0)+ IF(N6="",0,1)*IF(N6=O6,1,0)+ IF(P6="",0,1)*IF(P6=Q6,1,0)+ IF(K2="",0,1)*IF(K2=J2,1,0)+ IF(K3="",0,1)*IF(K3=J3,1,0)+ IF(K4="",0,1)*IF(K4=J4,1,0)+ IF(K5="",0,1)*IF(K5=J5,1,0)</f>
        <v>0</v>
      </c>
      <c r="G15">
        <f xml:space="preserve"> 0 + IF(N7="",0,1)*IF(N7=O7,1,0)+ IF(P7="",0,1)*IF(P7=Q7,1,0)+ IF(M2="",0,1)*IF(M2=L2,1,0)+ IF(M3="",0,1)*IF(M3=L3,1,0)+ IF(M4="",0,1)*IF(M4=L4,1,0)+ IF(M5="",0,1)*IF(M5=L5,1,0)+ IF(M6="",0,1)*IF(M6=L6,1,0)</f>
        <v>0</v>
      </c>
      <c r="H15">
        <f xml:space="preserve"> 0 + IF(P8="",0,1)*IF(P8=Q8,1,0)+ IF(O2="",0,1)*IF(O2=N2,1,0)+ IF(O3="",0,1)*IF(O3=N3,1,0)+ IF(O4="",0,1)*IF(O4=N4,1,0)+ IF(O5="",0,1)*IF(O5=N5,1,0)+ IF(O6="",0,1)*IF(O6=N6,1,0)+ IF(O7="",0,1)*IF(O7=N7,1,0)</f>
        <v>0</v>
      </c>
      <c r="I15">
        <f xml:space="preserve"> 0 + IF(Q2="",0,1)*IF(Q2=P2,1,0)+ IF(Q3="",0,1)*IF(Q3=P3,1,0)+ IF(Q4="",0,1)*IF(Q4=P4,1,0)+ IF(Q5="",0,1)*IF(Q5=P5,1,0)+ IF(Q6="",0,1)*IF(Q6=P6,1,0)+ IF(Q7="",0,1)*IF(Q7=P7,1,0)+ IF(Q8="",0,1)*IF(Q8=P8,1,0)</f>
        <v>0</v>
      </c>
    </row>
    <row r="16" spans="1:17" x14ac:dyDescent="0.35">
      <c r="A16" t="s">
        <v>144</v>
      </c>
      <c r="B16">
        <f xml:space="preserve"> 0 + IF(D2&lt;E2,1,0)+ IF(F2&lt;G2,1,0)+ IF(H2&lt;I2,1,0)+ IF(J2&lt;K2,1,0)+ IF(L2&lt;M2,1,0)+ IF(N2&lt;O2,1,0)+ IF(P2&lt;Q2,1,0)</f>
        <v>0</v>
      </c>
      <c r="C16">
        <f xml:space="preserve"> 0 + IF(F3&lt;G3,1,0)+ IF(H3&lt;I3,1,0)+ IF(J3&lt;K3,1,0)+ IF(L3&lt;M3,1,0)+ IF(N3&lt;O3,1,0)+ IF(P3&lt;Q3,1,0)+ IF(E2&lt;D2,1,0)</f>
        <v>0</v>
      </c>
      <c r="D16">
        <f xml:space="preserve"> 0 + IF(H4&lt;I4,1,0)+ IF(J4&lt;K4,1,0)+ IF(L4&lt;M4,1,0)+ IF(N4&lt;O4,1,0)+ IF(P4&lt;Q4,1,0)+ IF(G2&lt;F2,1,0)+ IF(G3&lt;F3,1,0)</f>
        <v>0</v>
      </c>
      <c r="E16">
        <f xml:space="preserve"> 0 + IF(J5&lt;K5,1,0)+ IF(L5&lt;M5,1,0)+ IF(N5&lt;O5,1,0)+ IF(P5&lt;Q5,1,0)+ IF(I2&lt;H2,1,0)+ IF(I3&lt;H3,1,0)+ IF(I4&lt;H4,1,0)</f>
        <v>0</v>
      </c>
      <c r="F16">
        <f xml:space="preserve"> 0 + IF(L6&lt;M6,1,0)+ IF(N6&lt;O6,1,0)+ IF(P6&lt;Q6,1,0)+ IF(K2&lt;J2,1,0)+ IF(K3&lt;J3,1,0)+ IF(K4&lt;J4,1,0)+ IF(K5&lt;J5,1,0)</f>
        <v>0</v>
      </c>
      <c r="G16">
        <f xml:space="preserve"> 0 + IF(N7&lt;O7,1,0)+ IF(P7&lt;Q7,1,0)+ IF(M2&lt;L2,1,0)+ IF(M3&lt;L3,1,0)+ IF(M4&lt;L4,1,0)+ IF(M5&lt;L5,1,0)+ IF(M6&lt;L6,1,0)</f>
        <v>0</v>
      </c>
      <c r="H16">
        <f xml:space="preserve"> 0 + IF(P8&lt;Q8,1,0)+ IF(O2&lt;N2,1,0)+ IF(O3&lt;N3,1,0)+ IF(O4&lt;N4,1,0)+ IF(O5&lt;N5,1,0)+ IF(O6&lt;N6,1,0)+ IF(O7&lt;N7,1,0)</f>
        <v>0</v>
      </c>
      <c r="I16">
        <f xml:space="preserve"> 0 + IF(Q2&lt;P2,1,0)+ IF(Q3&lt;P3,1,0)+ IF(Q4&lt;P4,1,0)+ IF(Q5&lt;P5,1,0)+ IF(Q6&lt;P6,1,0)+ IF(Q7&lt;P7,1,0)+ IF(Q8&lt;P8,1,0)</f>
        <v>0</v>
      </c>
    </row>
    <row r="17" spans="1:9" x14ac:dyDescent="0.35">
      <c r="A17" t="s">
        <v>145</v>
      </c>
      <c r="B17">
        <f xml:space="preserve"> 0 + IF(D2="",0,D2)+ IF(F2="",0,F2)+ IF(H2="",0,H2)+ IF(J2="",0,J2)+ IF(L2="",0,L2)+ IF(N2="",0,N2)+ IF(P2="",0,P2)</f>
        <v>0</v>
      </c>
      <c r="C17">
        <f xml:space="preserve"> 0 + IF(F3="",0,F3)+ IF(H3="",0,H3)+ IF(J3="",0,J3)+ IF(L3="",0,L3)+ IF(N3="",0,N3)+ IF(P3="",0,P3)+ IF(E2="",0,E2)</f>
        <v>0</v>
      </c>
      <c r="D17">
        <f xml:space="preserve"> 0 + IF(H4="",0,H4)+ IF(J4="",0,J4)+ IF(L4="",0,L4)+ IF(N4="",0,N4)+ IF(P4="",0,P4)+ IF(G2="",0,G2)+ IF(G3="",0,G3)</f>
        <v>0</v>
      </c>
      <c r="E17">
        <f xml:space="preserve"> 0 + IF(J5="",0,J5)+ IF(L5="",0,L5)+ IF(N5="",0,N5)+ IF(P5="",0,P5)+ IF(I2="",0,I2)+ IF(I3="",0,I3)+ IF(I4="",0,I4)</f>
        <v>0</v>
      </c>
      <c r="F17">
        <f xml:space="preserve"> 0 + IF(L6="",0,L6)+ IF(N6="",0,N6)+ IF(P6="",0,P6)+ IF(K2="",0,K2)+ IF(K3="",0,K3)+ IF(K4="",0,K4)+ IF(K5="",0,K5)</f>
        <v>0</v>
      </c>
      <c r="G17">
        <f xml:space="preserve"> 0 + IF(N7="",0,N7)+ IF(P7="",0,P7)+ IF(M2="",0,M2)+ IF(M3="",0,M3)+ IF(M4="",0,M4)+ IF(M5="",0,M5)+ IF(M6="",0,M6)</f>
        <v>0</v>
      </c>
      <c r="H17">
        <f xml:space="preserve"> 0 + IF(P8="",0,P8)+ IF(O2="",0,O2)+ IF(O3="",0,O3)+ IF(O4="",0,O4)+ IF(O5="",0,O5)+ IF(O6="",0,O6)+ IF(O7="",0,O7)</f>
        <v>0</v>
      </c>
      <c r="I17">
        <f xml:space="preserve"> 0 + IF(Q2="",0,Q2)+ IF(Q3="",0,Q3)+ IF(Q4="",0,Q4)+ IF(Q5="",0,Q5)+ IF(Q6="",0,Q6)+ IF(Q7="",0,Q7)+ IF(Q8="",0,Q8)</f>
        <v>0</v>
      </c>
    </row>
    <row r="18" spans="1:9" x14ac:dyDescent="0.35">
      <c r="A18" t="s">
        <v>146</v>
      </c>
      <c r="B18">
        <f xml:space="preserve"> 0 + IF(E2="",0,E2)+ IF(G2="",0,G2)+ IF(I2="",0,I2)+ IF(K2="",0,K2)+ IF(M2="",0,M2)+ IF(O2="",0,O2)+ IF(Q2="",0,Q2)</f>
        <v>0</v>
      </c>
      <c r="C18">
        <f xml:space="preserve"> 0 + IF(G3="",0,G3)+ IF(I3="",0,I3)+ IF(K3="",0,K3)+ IF(M3="",0,M3)+ IF(O3="",0,O3)+ IF(Q3="",0,Q3)+ IF(D2="",0,D2)</f>
        <v>0</v>
      </c>
      <c r="D18">
        <f xml:space="preserve"> 0 + IF(I4="",0,I4)+ IF(K4="",0,K4)+ IF(M4="",0,M4)+ IF(O4="",0,O4)+ IF(Q4="",0,Q4)+ IF(F2="",0,F2)+ IF(F3="",0,F3)</f>
        <v>0</v>
      </c>
      <c r="E18">
        <f xml:space="preserve"> 0 + IF(K5="",0,K5)+ IF(M5="",0,M5)+ IF(O5="",0,O5)+ IF(Q5="",0,Q5)+ IF(H2="",0,H2)+ IF(H3="",0,H3)+ IF(H4="",0,H4)</f>
        <v>0</v>
      </c>
      <c r="F18">
        <f xml:space="preserve"> 0 + IF(M6="",0,M6)+ IF(O6="",0,O6)+ IF(Q6="",0,Q6)+ IF(J2="",0,J2)+ IF(J3="",0,J3)+ IF(J4="",0,J4)+ IF(J5="",0,J5)</f>
        <v>0</v>
      </c>
      <c r="G18">
        <f xml:space="preserve"> 0 + IF(O7="",0,O7)+ IF(Q7="",0,Q7)+ IF(L2="",0,L2)+ IF(L3="",0,L3)+ IF(L4="",0,L4)+ IF(L5="",0,L5)+ IF(L6="",0,L6)</f>
        <v>0</v>
      </c>
      <c r="H18">
        <f xml:space="preserve"> 0 + IF(Q8="",0,Q8)+ IF(N2="",0,N2)+ IF(N3="",0,N3)+ IF(N4="",0,N4)+ IF(N5="",0,N5)+ IF(N6="",0,N6)+ IF(N7="",0,N7)</f>
        <v>0</v>
      </c>
      <c r="I18">
        <f xml:space="preserve"> 0 + IF(P2="",0,P2)+ IF(P3="",0,P3)+ IF(P4="",0,P4)+ IF(P5="",0,P5)+ IF(P6="",0,P6)+ IF(P7="",0,P7)+ IF(P8="",0,P8)</f>
        <v>0</v>
      </c>
    </row>
    <row r="19" spans="1:9" x14ac:dyDescent="0.35">
      <c r="A19" t="s">
        <v>147</v>
      </c>
      <c r="B19">
        <f>B17-B18</f>
        <v>0</v>
      </c>
      <c r="C19">
        <f>C17-C18</f>
        <v>0</v>
      </c>
      <c r="D19">
        <f>D17-D18</f>
        <v>0</v>
      </c>
      <c r="E19">
        <f>E17-E18</f>
        <v>0</v>
      </c>
      <c r="F19">
        <f>F17-F18</f>
        <v>0</v>
      </c>
      <c r="G19">
        <f>G17-G18</f>
        <v>0</v>
      </c>
      <c r="H19">
        <f>H17-H18</f>
        <v>0</v>
      </c>
      <c r="I19">
        <f>I17-I18</f>
        <v>0</v>
      </c>
    </row>
    <row r="20" spans="1:9" x14ac:dyDescent="0.35">
      <c r="A20" t="s">
        <v>148</v>
      </c>
      <c r="B20">
        <f>3*B14+B15</f>
        <v>0</v>
      </c>
      <c r="C20">
        <f>3*C14+C15</f>
        <v>0</v>
      </c>
      <c r="D20">
        <f>3*D14+D15</f>
        <v>0</v>
      </c>
      <c r="E20">
        <f>3*E14+E15</f>
        <v>0</v>
      </c>
      <c r="F20">
        <f>3*F14+F15</f>
        <v>0</v>
      </c>
      <c r="G20">
        <f>3*G14+G15</f>
        <v>0</v>
      </c>
      <c r="H20">
        <f>3*H14+H15</f>
        <v>0</v>
      </c>
      <c r="I20">
        <f>3*I14+I15</f>
        <v>0</v>
      </c>
    </row>
    <row r="21" spans="1:9" x14ac:dyDescent="0.35">
      <c r="A21" t="s">
        <v>149</v>
      </c>
      <c r="B21">
        <f>RANK(B20,B20:I20,0)</f>
        <v>1</v>
      </c>
      <c r="C21">
        <f>RANK(C20,B20:I20,0)</f>
        <v>1</v>
      </c>
      <c r="D21">
        <f>RANK(D20,B20:I20,0)</f>
        <v>1</v>
      </c>
      <c r="E21">
        <f>RANK(E20,B20:I20,0)</f>
        <v>1</v>
      </c>
      <c r="F21">
        <f>RANK(F20,B20:I20,0)</f>
        <v>1</v>
      </c>
      <c r="G21">
        <f>RANK(G20,B20:I20,0)</f>
        <v>1</v>
      </c>
      <c r="H21">
        <f>RANK(H20,B20:I20,0)</f>
        <v>1</v>
      </c>
      <c r="I21">
        <f>RANK(I20,B20:I20,0)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chargement</vt:lpstr>
      <vt:lpstr>tableau.csv</vt:lpstr>
      <vt:lpstr>tableau2.csv</vt:lpstr>
      <vt:lpstr>tableau4.csv</vt:lpstr>
      <vt:lpstr>f_u9.csv</vt:lpstr>
      <vt:lpstr>f_u11f.csv</vt:lpstr>
      <vt:lpstr>f_u11m1.csv</vt:lpstr>
      <vt:lpstr>f_u11m2.csv</vt:lpstr>
      <vt:lpstr>f_u11f.csv!f_u11f.csv</vt:lpstr>
      <vt:lpstr>f_u11m1.csv!f_u11m1.csv</vt:lpstr>
      <vt:lpstr>f_u11m2.csv!f_u11m2.csv</vt:lpstr>
      <vt:lpstr>f_u9.csv!f_u9.csv</vt:lpstr>
      <vt:lpstr>tableau.csv!tableau.csv</vt:lpstr>
      <vt:lpstr>tableau2.csv!tableau2.csv</vt:lpstr>
      <vt:lpstr>tableau4.csv!tableau4.csv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Windows User</cp:lastModifiedBy>
  <dcterms:created xsi:type="dcterms:W3CDTF">2019-06-05T22:30:10Z</dcterms:created>
  <dcterms:modified xsi:type="dcterms:W3CDTF">2019-06-07T21:20:45Z</dcterms:modified>
</cp:coreProperties>
</file>