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\basket\2023_05_u11_3p\"/>
    </mc:Choice>
  </mc:AlternateContent>
  <xr:revisionPtr revIDLastSave="0" documentId="13_ncr:1_{B5A4B305-7C24-4BFC-A7D2-E8C8155F704A}" xr6:coauthVersionLast="47" xr6:coauthVersionMax="47" xr10:uidLastSave="{00000000-0000-0000-0000-000000000000}"/>
  <bookViews>
    <workbookView xWindow="0" yWindow="0" windowWidth="14260" windowHeight="21000" firstSheet="1" activeTab="1" xr2:uid="{00000000-000D-0000-FFFF-FFFF00000000}"/>
  </bookViews>
  <sheets>
    <sheet name="chargement" sheetId="2" r:id="rId1"/>
    <sheet name="tableau.csv" sheetId="174" r:id="rId2"/>
    <sheet name="f_u11f.csv" sheetId="222" r:id="rId3"/>
    <sheet name="f_u11m_a.csv" sheetId="223" r:id="rId4"/>
    <sheet name="f_u11m_b.csv" sheetId="224" r:id="rId5"/>
    <sheet name="f_u11m_c.csv" sheetId="225" r:id="rId6"/>
  </sheets>
  <definedNames>
    <definedName name="f_u11f.csv" localSheetId="2">f_u11f.csv!$A$1:$N$19</definedName>
    <definedName name="f_u11m_a.csv" localSheetId="3">f_u11m_a.csv!$A$1:$J$17</definedName>
    <definedName name="f_u11m_b.csv" localSheetId="4">f_u11m_b.csv!$A$1:$J$17</definedName>
    <definedName name="f_u11m_c.csv" localSheetId="5">f_u11m_c.csv!$A$1:$J$17</definedName>
    <definedName name="tableau.csv" localSheetId="1">tableau.csv!$A$1:$E$18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225" l="1"/>
  <c r="C9" i="225"/>
  <c r="D9" i="225"/>
  <c r="E9" i="225"/>
  <c r="B10" i="225"/>
  <c r="C10" i="225"/>
  <c r="D10" i="225"/>
  <c r="E10" i="225"/>
  <c r="B11" i="225"/>
  <c r="C11" i="225"/>
  <c r="D11" i="225"/>
  <c r="E11" i="225"/>
  <c r="B12" i="225"/>
  <c r="C12" i="225"/>
  <c r="D12" i="225"/>
  <c r="E12" i="225"/>
  <c r="B13" i="225"/>
  <c r="C13" i="225"/>
  <c r="D13" i="225"/>
  <c r="D15" i="225" s="1"/>
  <c r="E13" i="225"/>
  <c r="B14" i="225"/>
  <c r="C14" i="225"/>
  <c r="C15" i="225" s="1"/>
  <c r="D14" i="225"/>
  <c r="E14" i="225"/>
  <c r="B15" i="225"/>
  <c r="E15" i="225"/>
  <c r="B16" i="225"/>
  <c r="C16" i="225"/>
  <c r="B17" i="225" s="1"/>
  <c r="D16" i="225"/>
  <c r="D17" i="225" s="1"/>
  <c r="E16" i="225"/>
  <c r="B9" i="224"/>
  <c r="C9" i="224"/>
  <c r="D9" i="224"/>
  <c r="E9" i="224"/>
  <c r="B10" i="224"/>
  <c r="C10" i="224"/>
  <c r="D10" i="224"/>
  <c r="E10" i="224"/>
  <c r="B11" i="224"/>
  <c r="C11" i="224"/>
  <c r="D11" i="224"/>
  <c r="E11" i="224"/>
  <c r="B12" i="224"/>
  <c r="C12" i="224"/>
  <c r="D12" i="224"/>
  <c r="E12" i="224"/>
  <c r="B13" i="224"/>
  <c r="C13" i="224"/>
  <c r="D13" i="224"/>
  <c r="E13" i="224"/>
  <c r="B14" i="224"/>
  <c r="C14" i="224"/>
  <c r="D14" i="224"/>
  <c r="D15" i="224" s="1"/>
  <c r="E14" i="224"/>
  <c r="E15" i="224" s="1"/>
  <c r="B15" i="224"/>
  <c r="C15" i="224"/>
  <c r="B16" i="224"/>
  <c r="C16" i="224"/>
  <c r="D16" i="224"/>
  <c r="B17" i="224" s="1"/>
  <c r="E16" i="224"/>
  <c r="E17" i="224"/>
  <c r="B9" i="223"/>
  <c r="C9" i="223"/>
  <c r="D9" i="223"/>
  <c r="E9" i="223"/>
  <c r="B10" i="223"/>
  <c r="C10" i="223"/>
  <c r="D10" i="223"/>
  <c r="E10" i="223"/>
  <c r="B11" i="223"/>
  <c r="C11" i="223"/>
  <c r="D11" i="223"/>
  <c r="E11" i="223"/>
  <c r="B12" i="223"/>
  <c r="C12" i="223"/>
  <c r="D12" i="223"/>
  <c r="E12" i="223"/>
  <c r="B13" i="223"/>
  <c r="C13" i="223"/>
  <c r="D13" i="223"/>
  <c r="D15" i="223" s="1"/>
  <c r="E13" i="223"/>
  <c r="B14" i="223"/>
  <c r="C14" i="223"/>
  <c r="C15" i="223" s="1"/>
  <c r="D14" i="223"/>
  <c r="E14" i="223"/>
  <c r="B15" i="223"/>
  <c r="E15" i="223"/>
  <c r="B16" i="223"/>
  <c r="C16" i="223"/>
  <c r="B17" i="223" s="1"/>
  <c r="D16" i="223"/>
  <c r="C17" i="223" s="1"/>
  <c r="E16" i="223"/>
  <c r="B11" i="222"/>
  <c r="C11" i="222"/>
  <c r="D11" i="222"/>
  <c r="E11" i="222"/>
  <c r="F11" i="222"/>
  <c r="G11" i="222"/>
  <c r="B12" i="222"/>
  <c r="C12" i="222"/>
  <c r="D12" i="222"/>
  <c r="E12" i="222"/>
  <c r="F12" i="222"/>
  <c r="G12" i="222"/>
  <c r="B13" i="222"/>
  <c r="C13" i="222"/>
  <c r="D13" i="222"/>
  <c r="D18" i="222" s="1"/>
  <c r="E13" i="222"/>
  <c r="E18" i="222" s="1"/>
  <c r="E19" i="222" s="1"/>
  <c r="F13" i="222"/>
  <c r="G13" i="222"/>
  <c r="B14" i="222"/>
  <c r="C14" i="222"/>
  <c r="D14" i="222"/>
  <c r="E14" i="222"/>
  <c r="F14" i="222"/>
  <c r="G14" i="222"/>
  <c r="B15" i="222"/>
  <c r="C15" i="222"/>
  <c r="D15" i="222"/>
  <c r="E15" i="222"/>
  <c r="F15" i="222"/>
  <c r="G15" i="222"/>
  <c r="B16" i="222"/>
  <c r="B17" i="222" s="1"/>
  <c r="C16" i="222"/>
  <c r="C17" i="222" s="1"/>
  <c r="D16" i="222"/>
  <c r="E16" i="222"/>
  <c r="F16" i="222"/>
  <c r="F17" i="222" s="1"/>
  <c r="G16" i="222"/>
  <c r="G17" i="222" s="1"/>
  <c r="D17" i="222"/>
  <c r="E17" i="222"/>
  <c r="B18" i="222"/>
  <c r="C18" i="222"/>
  <c r="C19" i="222" s="1"/>
  <c r="F18" i="222"/>
  <c r="G18" i="222"/>
  <c r="C17" i="225" l="1"/>
  <c r="E17" i="225"/>
  <c r="C17" i="224"/>
  <c r="D17" i="224"/>
  <c r="E17" i="223"/>
  <c r="D17" i="223"/>
  <c r="G19" i="222"/>
  <c r="B19" i="222"/>
  <c r="D19" i="222"/>
  <c r="F19" i="22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34813B-4B9A-4DA3-891D-D0C56E57EF61}" name="2022_05_u9tableau" type="6" refreshedVersion="0" background="1">
    <textPr prompt="0" sourceFile="d:\dev\basket\2022_05_u9tableau.csv" decimal="," thousands=" ">
      <textFields>
        <textField/>
      </textFields>
    </textPr>
  </connection>
  <connection id="2" xr16:uid="{E2EF4EB8-7A9F-4798-9C91-8AEAE8C1C94A}" name="2022_05_u9tableau1" type="6" refreshedVersion="0" background="1">
    <textPr prompt="0" sourceFile="d:\dev\basket\2022_05_u9tableau.csv" decimal="," thousands=" ">
      <textFields>
        <textField/>
      </textFields>
    </textPr>
  </connection>
  <connection id="3" xr16:uid="{C75698DB-F648-418A-968A-9D1824E368A3}" name="f_u11f" type="6" refreshedVersion="7" background="1" saveData="1">
    <textPr prompt="0" codePage="28605" sourceFile="d:\dev\basket\2023_05_u11_3p\f_u11f.csv" decimal="," thousands=" 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4" xr16:uid="{1BF38661-BFF2-4691-B10F-C45000004F92}" name="f_u11m_a" type="6" refreshedVersion="7" background="1" saveData="1">
    <textPr prompt="0" codePage="28605" sourceFile="d:\dev\basket\2023_05_u11_3p\f_u11m_a.csv" decimal="," thousands=" 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5" xr16:uid="{C3FF3C85-B038-4186-8E15-0D074C6D2753}" name="f_u11m_b" type="6" refreshedVersion="7" background="1" saveData="1">
    <textPr prompt="0" codePage="28605" sourceFile="d:\dev\basket\2023_05_u11_3p\f_u11m_b.csv" decimal="," thousands=" 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6" xr16:uid="{2D5160AF-A1F6-4465-9726-D15CAE88D018}" name="f_u11m_c" type="6" refreshedVersion="0" background="1">
    <textPr prompt="0" sourceFile="d:\dev\basket\2023_05_u11_3p\f_u11m_c.csv" decimal="," thousands=" ">
      <textFields>
        <textField/>
      </textFields>
    </textPr>
  </connection>
  <connection id="7" xr16:uid="{BEC6100C-CC0E-498E-BF34-F81ECF932BA9}" name="f_u11m_c1" type="6" refreshedVersion="7" background="1" saveData="1">
    <textPr prompt="0" codePage="28605" sourceFile="d:\dev\basket\2023_05_u11_3p\f_u11m_c.csv" decimal="," thousands=" 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8" xr16:uid="{422FB3E1-87CA-4D73-A2A4-20BD562D9FDD}" name="f_u7" type="6" refreshedVersion="0" background="1">
    <textPr prompt="0" sourceFile="d:\dev\basket\2022_05_u9\f_u7.csv" decimal="," thousands=" ">
      <textFields>
        <textField/>
      </textFields>
    </textPr>
  </connection>
  <connection id="9" xr16:uid="{9876F1A9-BEF7-4EF4-8B1C-4C9378FEC6AC}" name="tableau" type="6" refreshedVersion="0" background="1">
    <textPr prompt="0" sourceFile="H:\basket\run1\tableau.csv" decimal="," thousands=" ">
      <textFields>
        <textField/>
      </textFields>
    </textPr>
  </connection>
  <connection id="10" xr16:uid="{F320C2C7-77E7-4B40-818D-2C84B734EE53}" name="tableau1" type="6" refreshedVersion="7" background="1" saveData="1">
    <textPr prompt="0" codePage="28605" sourceFile="d:\dev\basket\2023_05_u11_3p\tableau.csv" decimal="," thousands=" " tab="0" semicolon="1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<sst xmlns="http://schemas.openxmlformats.org/spreadsheetml/2006/main" count="299" uniqueCount="102">
  <si>
    <t>tableau.csv</t>
  </si>
  <si>
    <t>tableau2.csv</t>
  </si>
  <si>
    <t>tableau4.csv</t>
  </si>
  <si>
    <t>repertoire ou sont générés les .csv</t>
  </si>
  <si>
    <t>1er fichier à charger</t>
  </si>
  <si>
    <t>2nd</t>
  </si>
  <si>
    <t>...</t>
  </si>
  <si>
    <t>creneau</t>
  </si>
  <si>
    <t>-</t>
  </si>
  <si>
    <t>couleurs par poule</t>
  </si>
  <si>
    <t>chargement de csv tabulés pour formule</t>
  </si>
  <si>
    <t>dernier</t>
  </si>
  <si>
    <t>pas en u9</t>
  </si>
  <si>
    <t>(u11m_a)</t>
  </si>
  <si>
    <t>(u11m_b)</t>
  </si>
  <si>
    <t>d:\dev\basket\2022_05_u11</t>
  </si>
  <si>
    <t>ext1</t>
  </si>
  <si>
    <t>ext2</t>
  </si>
  <si>
    <t>(u11f)</t>
  </si>
  <si>
    <t>bouin</t>
  </si>
  <si>
    <t>cug2 - otb (u11m_b)</t>
  </si>
  <si>
    <t>lave - vil2 (u11f)</t>
  </si>
  <si>
    <t>cugn - vil1 (u11f)</t>
  </si>
  <si>
    <t>cug1 - mont (u11m_a)</t>
  </si>
  <si>
    <t>cugn - vil2 (u11f)</t>
  </si>
  <si>
    <t>lave - vil1 (u11f)</t>
  </si>
  <si>
    <t>lave - mont (u11f)</t>
  </si>
  <si>
    <t>cugn - lard (u11f)</t>
  </si>
  <si>
    <t>vil1 - vil2 (u11f)</t>
  </si>
  <si>
    <t>otb - vill (u11m_b)</t>
  </si>
  <si>
    <t>mont - toa1 (u11m_a)</t>
  </si>
  <si>
    <t>mont - vil2 (u11f)</t>
  </si>
  <si>
    <t>lard - vil1 (u11f)</t>
  </si>
  <si>
    <t>cugn - lave (u11f)</t>
  </si>
  <si>
    <t>mont - vil1 (u11f)</t>
  </si>
  <si>
    <t>lard - vil2 (u11f)</t>
  </si>
  <si>
    <t>lard - mont (u11f)</t>
  </si>
  <si>
    <t>cug1 - toa1 (u11m_a)</t>
  </si>
  <si>
    <t>cugn - mont (u11f)</t>
  </si>
  <si>
    <t>lard - lave (u11f)</t>
  </si>
  <si>
    <t>cug2 - vill (u11m_b)</t>
  </si>
  <si>
    <t>(u17)</t>
  </si>
  <si>
    <t>d:\dev\basket\2023_05_u11_3p\</t>
  </si>
  <si>
    <t>(u11m_c)</t>
  </si>
  <si>
    <t>f_u11f.csv</t>
  </si>
  <si>
    <t>f_u11m_a.csv</t>
  </si>
  <si>
    <t>f_u11m_b.csv</t>
  </si>
  <si>
    <t>f_u11m_c.csv</t>
  </si>
  <si>
    <t>roure</t>
  </si>
  <si>
    <t>lar2 - toa2 (u11m_c)</t>
  </si>
  <si>
    <t>lar1 - vill (u11m_b)</t>
  </si>
  <si>
    <t>mont - net2 (u11m_a)</t>
  </si>
  <si>
    <t>net1 - stjo (u11m_c)</t>
  </si>
  <si>
    <t>lar1 - otb (u11m_b)</t>
  </si>
  <si>
    <t>net1 - toa2 (u11m_c)</t>
  </si>
  <si>
    <t>cug1 - net2 (u11m_a)</t>
  </si>
  <si>
    <t>lar2 - stjo (u11m_c)</t>
  </si>
  <si>
    <t>cug2 - lar1 (u11m_b)</t>
  </si>
  <si>
    <t>net2 - toa1 (u11m_a)</t>
  </si>
  <si>
    <t>lar2 - net1 (u11m_c)</t>
  </si>
  <si>
    <t>stjo - toa2 (u11m_c)</t>
  </si>
  <si>
    <t>finale</t>
  </si>
  <si>
    <t>petite finale</t>
  </si>
  <si>
    <t>consol. 1/4</t>
  </si>
  <si>
    <t>1/2 finale BC33</t>
  </si>
  <si>
    <t>1/2 finale Aabc</t>
  </si>
  <si>
    <t>cugn</t>
  </si>
  <si>
    <t>lard</t>
  </si>
  <si>
    <t>lave</t>
  </si>
  <si>
    <t>mont</t>
  </si>
  <si>
    <t>vil1</t>
  </si>
  <si>
    <t>vil2</t>
  </si>
  <si>
    <t>X</t>
  </si>
  <si>
    <t>equipe</t>
  </si>
  <si>
    <t>m joues</t>
  </si>
  <si>
    <t>m gagnes</t>
  </si>
  <si>
    <t>m nuls</t>
  </si>
  <si>
    <t>m perdus</t>
  </si>
  <si>
    <t>pts marqu</t>
  </si>
  <si>
    <t>pts encais</t>
  </si>
  <si>
    <t>diff pts</t>
  </si>
  <si>
    <t>score</t>
  </si>
  <si>
    <t>rang</t>
  </si>
  <si>
    <t>cug1</t>
  </si>
  <si>
    <t>lar1</t>
  </si>
  <si>
    <t>net1</t>
  </si>
  <si>
    <t>stjo</t>
  </si>
  <si>
    <t>toa1</t>
  </si>
  <si>
    <t>cug2</t>
  </si>
  <si>
    <t>lar2</t>
  </si>
  <si>
    <t>net2</t>
  </si>
  <si>
    <t>otb</t>
  </si>
  <si>
    <t>toa2</t>
  </si>
  <si>
    <t>vill</t>
  </si>
  <si>
    <t>1/4 : 2nb A - 2nb C</t>
  </si>
  <si>
    <t>1/4 : 1er A - 2nb B</t>
  </si>
  <si>
    <t>1/4 : 1er C - meill. 3èmes</t>
  </si>
  <si>
    <t>x</t>
  </si>
  <si>
    <t>meill. 4ème - dern. 3è</t>
  </si>
  <si>
    <t>deux derniers 4èmes</t>
  </si>
  <si>
    <t>1/4 : 1er B - meill. 3è</t>
  </si>
  <si>
    <t>meilleur des 3 et 4èmes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</si>
</sst>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ourier New"/>
      <family val="3"/>
    </font>
    <font>
      <b/>
      <sz val="11"/>
      <color rgb="FF00B0F0"/>
      <name val="Courier New"/>
      <family val="3"/>
    </font>
    <font>
      <b/>
      <sz val="11"/>
      <color rgb="FFFF0000"/>
      <name val="Courier New"/>
      <family val="3"/>
    </font>
    <font>
      <b/>
      <sz val="11"/>
      <color theme="6" tint="-0.249977111117893"/>
      <name val="Courier New"/>
      <family val="3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CDDC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5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7" borderId="0" xfId="0" applyFill="1"/>
    <xf numFmtId="0" fontId="18" fillId="0" borderId="0" xfId="0" applyFont="1"/>
    <xf numFmtId="20" fontId="18" fillId="0" borderId="0" xfId="0" applyNumberFormat="1" applyFont="1"/>
    <xf numFmtId="0" fontId="18" fillId="34" borderId="0" xfId="0" applyFont="1" applyFill="1"/>
    <xf numFmtId="0" fontId="18" fillId="35" borderId="0" xfId="0" applyFont="1" applyFill="1"/>
    <xf numFmtId="0" fontId="18" fillId="38" borderId="0" xfId="0" applyFont="1" applyFill="1"/>
    <xf numFmtId="0" fontId="18" fillId="0" borderId="0" xfId="0" applyFont="1" applyAlignment="1">
      <alignment horizontal="center"/>
    </xf>
    <xf numFmtId="0" fontId="18" fillId="36" borderId="0" xfId="0" applyFont="1" applyFill="1"/>
    <xf numFmtId="0" fontId="19" fillId="0" borderId="0" xfId="0" applyFont="1"/>
    <xf numFmtId="0" fontId="20" fillId="0" borderId="0" xfId="0" applyFont="1"/>
    <xf numFmtId="0" fontId="21" fillId="0" borderId="0" xfId="0" applyFont="1"/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colors>
    <mruColors>
      <color rgb="FFFF9900"/>
      <color rgb="FF669900"/>
      <color rgb="FF6699FF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au.csv" connectionId="10" xr16:uid="{D6832A66-01AF-4CFE-97BB-BAEC6671931F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_u11f.csv" connectionId="3" xr16:uid="{16516499-DA3A-4F67-88E8-197C34609001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_u11m_a.csv" connectionId="4" xr16:uid="{D55678A9-1BF7-44BA-B7C7-2EEDDEF58C1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_u11m_b.csv" connectionId="5" xr16:uid="{7F723AA5-295A-4AD3-A434-1B3755ACD34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_u11m_c.csv" connectionId="7" xr16:uid="{A3B85103-CAEE-4215-81DF-85870AC9D21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8"/>
  <sheetViews>
    <sheetView workbookViewId="0">
      <selection activeCell="A24" sqref="A24"/>
    </sheetView>
  </sheetViews>
  <sheetFormatPr baseColWidth="10" defaultColWidth="8.7265625" defaultRowHeight="14.5" x14ac:dyDescent="0.35"/>
  <cols>
    <col min="1" max="1" width="35" customWidth="1"/>
    <col min="2" max="2" width="36.54296875" customWidth="1"/>
  </cols>
  <sheetData>
    <row r="1" spans="1:3" x14ac:dyDescent="0.35">
      <c r="A1" t="s">
        <v>42</v>
      </c>
      <c r="B1" t="s">
        <v>3</v>
      </c>
      <c r="C1" t="s">
        <v>15</v>
      </c>
    </row>
    <row r="2" spans="1:3" x14ac:dyDescent="0.35">
      <c r="A2" t="s">
        <v>0</v>
      </c>
      <c r="B2" t="s">
        <v>4</v>
      </c>
    </row>
    <row r="3" spans="1:3" x14ac:dyDescent="0.35">
      <c r="A3" t="s">
        <v>1</v>
      </c>
      <c r="B3" t="s">
        <v>5</v>
      </c>
    </row>
    <row r="4" spans="1:3" x14ac:dyDescent="0.35">
      <c r="A4" t="s">
        <v>2</v>
      </c>
      <c r="B4" t="s">
        <v>6</v>
      </c>
    </row>
    <row r="9" spans="1:3" x14ac:dyDescent="0.35">
      <c r="B9" t="s">
        <v>11</v>
      </c>
    </row>
    <row r="10" spans="1:3" x14ac:dyDescent="0.35">
      <c r="A10" s="1" t="s">
        <v>18</v>
      </c>
      <c r="B10" t="s">
        <v>9</v>
      </c>
    </row>
    <row r="11" spans="1:3" x14ac:dyDescent="0.35">
      <c r="A11" s="2" t="s">
        <v>13</v>
      </c>
    </row>
    <row r="12" spans="1:3" x14ac:dyDescent="0.35">
      <c r="A12" s="3" t="s">
        <v>14</v>
      </c>
    </row>
    <row r="13" spans="1:3" x14ac:dyDescent="0.35">
      <c r="A13" s="4" t="s">
        <v>43</v>
      </c>
    </row>
    <row r="14" spans="1:3" x14ac:dyDescent="0.35">
      <c r="A14" t="s">
        <v>41</v>
      </c>
    </row>
    <row r="15" spans="1:3" x14ac:dyDescent="0.35">
      <c r="A15" t="s">
        <v>41</v>
      </c>
    </row>
    <row r="16" spans="1:3" x14ac:dyDescent="0.35">
      <c r="A16" t="s">
        <v>41</v>
      </c>
    </row>
    <row r="17" spans="1:3" x14ac:dyDescent="0.35">
      <c r="A17" t="s">
        <v>41</v>
      </c>
    </row>
    <row r="18" spans="1:3" x14ac:dyDescent="0.35">
      <c r="A18" t="s">
        <v>41</v>
      </c>
    </row>
    <row r="20" spans="1:3" x14ac:dyDescent="0.35">
      <c r="A20" t="s">
        <v>44</v>
      </c>
      <c r="B20" t="s">
        <v>10</v>
      </c>
      <c r="C20" t="s">
        <v>12</v>
      </c>
    </row>
    <row r="21" spans="1:3" x14ac:dyDescent="0.35">
      <c r="A21" t="s">
        <v>45</v>
      </c>
    </row>
    <row r="22" spans="1:3" x14ac:dyDescent="0.35">
      <c r="A22" t="s">
        <v>46</v>
      </c>
    </row>
    <row r="23" spans="1:3" x14ac:dyDescent="0.35">
      <c r="A23" t="s">
        <v>47</v>
      </c>
    </row>
    <row r="28" spans="1:3" x14ac:dyDescent="0.35">
      <c r="B28" t="s">
        <v>11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085BB-B8C1-420A-8533-627B65A6AAA8}">
  <sheetPr codeName="Feuil1"/>
  <dimension ref="A1:E22"/>
  <sheetViews>
    <sheetView tabSelected="1" workbookViewId="0">
      <selection activeCell="B24" sqref="B24"/>
    </sheetView>
  </sheetViews>
  <sheetFormatPr baseColWidth="10" defaultRowHeight="14.5" x14ac:dyDescent="0.35"/>
  <cols>
    <col min="1" max="1" width="9.81640625" customWidth="1"/>
    <col min="2" max="5" width="26.54296875" customWidth="1"/>
  </cols>
  <sheetData>
    <row r="1" spans="1:5" ht="15" x14ac:dyDescent="0.4">
      <c r="A1" s="5" t="s">
        <v>7</v>
      </c>
      <c r="B1" s="5" t="s">
        <v>48</v>
      </c>
      <c r="C1" s="5" t="s">
        <v>16</v>
      </c>
      <c r="D1" s="5" t="s">
        <v>17</v>
      </c>
      <c r="E1" s="5" t="s">
        <v>19</v>
      </c>
    </row>
    <row r="2" spans="1:5" ht="15" x14ac:dyDescent="0.4">
      <c r="A2" s="6">
        <v>0.40277777777777773</v>
      </c>
      <c r="B2" s="7" t="s">
        <v>55</v>
      </c>
      <c r="C2" s="8" t="s">
        <v>53</v>
      </c>
      <c r="D2" s="9" t="s">
        <v>54</v>
      </c>
      <c r="E2" s="10" t="s">
        <v>97</v>
      </c>
    </row>
    <row r="3" spans="1:5" ht="15" x14ac:dyDescent="0.4">
      <c r="A3" s="6">
        <v>0.41666666666666669</v>
      </c>
      <c r="B3" s="11" t="s">
        <v>36</v>
      </c>
      <c r="C3" s="11" t="s">
        <v>33</v>
      </c>
      <c r="D3" s="11" t="s">
        <v>28</v>
      </c>
      <c r="E3" s="10" t="s">
        <v>97</v>
      </c>
    </row>
    <row r="4" spans="1:5" ht="15" x14ac:dyDescent="0.4">
      <c r="A4" s="6">
        <v>0.43055555555555558</v>
      </c>
      <c r="B4" s="9" t="s">
        <v>59</v>
      </c>
      <c r="C4" s="8" t="s">
        <v>20</v>
      </c>
      <c r="D4" s="9" t="s">
        <v>60</v>
      </c>
      <c r="E4" s="10" t="s">
        <v>97</v>
      </c>
    </row>
    <row r="5" spans="1:5" ht="15" x14ac:dyDescent="0.4">
      <c r="A5" s="6">
        <v>0.44444444444444442</v>
      </c>
      <c r="B5" s="11" t="s">
        <v>24</v>
      </c>
      <c r="C5" s="7" t="s">
        <v>23</v>
      </c>
      <c r="D5" s="7" t="s">
        <v>58</v>
      </c>
      <c r="E5" s="10" t="s">
        <v>97</v>
      </c>
    </row>
    <row r="6" spans="1:5" ht="15" x14ac:dyDescent="0.4">
      <c r="A6" s="6">
        <v>0.45833333333333331</v>
      </c>
      <c r="B6" s="11" t="s">
        <v>34</v>
      </c>
      <c r="C6" s="9" t="s">
        <v>56</v>
      </c>
      <c r="D6" s="8" t="s">
        <v>50</v>
      </c>
      <c r="E6" s="10" t="s">
        <v>97</v>
      </c>
    </row>
    <row r="7" spans="1:5" ht="15" x14ac:dyDescent="0.4">
      <c r="A7" s="6">
        <v>0.47222222222222227</v>
      </c>
      <c r="B7" s="11" t="s">
        <v>27</v>
      </c>
      <c r="C7" s="11" t="s">
        <v>21</v>
      </c>
      <c r="D7" s="7" t="s">
        <v>51</v>
      </c>
      <c r="E7" s="10" t="s">
        <v>97</v>
      </c>
    </row>
    <row r="8" spans="1:5" ht="15" x14ac:dyDescent="0.4">
      <c r="A8" s="6">
        <v>0.4861111111111111</v>
      </c>
      <c r="B8" s="7" t="s">
        <v>37</v>
      </c>
      <c r="C8" s="8" t="s">
        <v>40</v>
      </c>
      <c r="D8" s="9" t="s">
        <v>52</v>
      </c>
      <c r="E8" s="10" t="s">
        <v>8</v>
      </c>
    </row>
    <row r="9" spans="1:5" ht="15" x14ac:dyDescent="0.4">
      <c r="A9" s="6">
        <v>0.5</v>
      </c>
      <c r="B9" s="11" t="s">
        <v>38</v>
      </c>
      <c r="C9" s="11" t="s">
        <v>32</v>
      </c>
      <c r="D9" s="9" t="s">
        <v>49</v>
      </c>
      <c r="E9" s="10" t="s">
        <v>8</v>
      </c>
    </row>
    <row r="10" spans="1:5" ht="15" x14ac:dyDescent="0.4">
      <c r="A10" s="6">
        <v>0.51388888888888895</v>
      </c>
      <c r="B10" s="8" t="s">
        <v>57</v>
      </c>
      <c r="C10" s="7" t="s">
        <v>30</v>
      </c>
      <c r="D10" s="8" t="s">
        <v>29</v>
      </c>
      <c r="E10" s="10" t="s">
        <v>8</v>
      </c>
    </row>
    <row r="11" spans="1:5" ht="15" x14ac:dyDescent="0.4">
      <c r="A11" s="6">
        <v>0.52777777777777779</v>
      </c>
      <c r="B11" s="5" t="s">
        <v>8</v>
      </c>
      <c r="C11" s="5" t="s">
        <v>8</v>
      </c>
      <c r="D11" s="5" t="s">
        <v>8</v>
      </c>
      <c r="E11" s="10" t="s">
        <v>97</v>
      </c>
    </row>
    <row r="12" spans="1:5" ht="15" x14ac:dyDescent="0.4">
      <c r="A12" s="6">
        <v>0.54166666666666663</v>
      </c>
      <c r="B12" s="5" t="s">
        <v>8</v>
      </c>
      <c r="C12" s="5" t="s">
        <v>8</v>
      </c>
      <c r="D12" s="5" t="s">
        <v>8</v>
      </c>
      <c r="E12" s="10" t="s">
        <v>97</v>
      </c>
    </row>
    <row r="13" spans="1:5" ht="15" x14ac:dyDescent="0.4">
      <c r="A13" s="6">
        <v>0.55555555555555558</v>
      </c>
      <c r="B13" s="11" t="s">
        <v>39</v>
      </c>
      <c r="C13" s="5" t="s">
        <v>8</v>
      </c>
      <c r="D13" s="5" t="s">
        <v>8</v>
      </c>
      <c r="E13" s="10" t="s">
        <v>97</v>
      </c>
    </row>
    <row r="14" spans="1:5" ht="15" x14ac:dyDescent="0.4">
      <c r="A14" s="6">
        <v>0.56944444444444442</v>
      </c>
      <c r="B14" s="11" t="s">
        <v>22</v>
      </c>
      <c r="C14" s="14" t="s">
        <v>98</v>
      </c>
      <c r="D14" s="14" t="s">
        <v>99</v>
      </c>
      <c r="E14" s="10" t="s">
        <v>97</v>
      </c>
    </row>
    <row r="15" spans="1:5" ht="15" x14ac:dyDescent="0.4">
      <c r="A15" s="6">
        <v>0.58333333333333337</v>
      </c>
      <c r="B15" s="11" t="s">
        <v>26</v>
      </c>
      <c r="C15" s="12" t="s">
        <v>94</v>
      </c>
      <c r="D15" s="13" t="s">
        <v>96</v>
      </c>
      <c r="E15" s="10" t="s">
        <v>97</v>
      </c>
    </row>
    <row r="16" spans="1:5" ht="15" x14ac:dyDescent="0.4">
      <c r="A16" s="6">
        <v>0.59722222222222221</v>
      </c>
      <c r="B16" s="12" t="s">
        <v>95</v>
      </c>
      <c r="C16" s="13" t="s">
        <v>100</v>
      </c>
      <c r="E16" s="10" t="s">
        <v>97</v>
      </c>
    </row>
    <row r="17" spans="1:5" ht="15" x14ac:dyDescent="0.4">
      <c r="A17" s="6">
        <v>0.61111111111111105</v>
      </c>
      <c r="B17" s="11" t="s">
        <v>35</v>
      </c>
      <c r="C17" s="14" t="s">
        <v>101</v>
      </c>
      <c r="E17" s="10" t="s">
        <v>97</v>
      </c>
    </row>
    <row r="18" spans="1:5" ht="15" x14ac:dyDescent="0.4">
      <c r="A18" s="6">
        <v>0.625</v>
      </c>
      <c r="B18" s="12" t="s">
        <v>63</v>
      </c>
      <c r="C18" s="13" t="s">
        <v>63</v>
      </c>
      <c r="E18" s="10" t="s">
        <v>8</v>
      </c>
    </row>
    <row r="19" spans="1:5" ht="15" x14ac:dyDescent="0.4">
      <c r="A19" s="6">
        <v>0.63888888888888895</v>
      </c>
      <c r="B19" s="12" t="s">
        <v>65</v>
      </c>
      <c r="D19" s="5"/>
      <c r="E19" s="13" t="s">
        <v>64</v>
      </c>
    </row>
    <row r="20" spans="1:5" ht="15" x14ac:dyDescent="0.4">
      <c r="A20" s="6">
        <v>0.65277777777777779</v>
      </c>
      <c r="B20" s="11" t="s">
        <v>31</v>
      </c>
      <c r="C20" s="5"/>
      <c r="D20" s="5"/>
      <c r="E20" s="11" t="s">
        <v>25</v>
      </c>
    </row>
    <row r="21" spans="1:5" ht="15" x14ac:dyDescent="0.4">
      <c r="A21" s="6">
        <v>0.66666666666666663</v>
      </c>
      <c r="B21" s="5" t="s">
        <v>62</v>
      </c>
      <c r="C21" s="5"/>
      <c r="D21" s="5"/>
      <c r="E21" s="5" t="s">
        <v>61</v>
      </c>
    </row>
    <row r="22" spans="1:5" ht="15" x14ac:dyDescent="0.4">
      <c r="A22" s="6"/>
      <c r="B22" s="5"/>
      <c r="C22" s="5"/>
      <c r="D22" s="5"/>
      <c r="E22" s="5"/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59530-94AB-4172-A86B-3DD52179E160}">
  <dimension ref="A1:M19"/>
  <sheetViews>
    <sheetView workbookViewId="0">
      <selection activeCell="O9" sqref="O9"/>
    </sheetView>
  </sheetViews>
  <sheetFormatPr baseColWidth="10" defaultRowHeight="14.5" x14ac:dyDescent="0.35"/>
  <cols>
    <col min="1" max="1" width="9.36328125" bestFit="1" customWidth="1"/>
    <col min="2" max="13" width="7" customWidth="1"/>
  </cols>
  <sheetData>
    <row r="1" spans="1:13" x14ac:dyDescent="0.35">
      <c r="C1" t="s">
        <v>66</v>
      </c>
      <c r="E1" t="s">
        <v>67</v>
      </c>
      <c r="G1" t="s">
        <v>68</v>
      </c>
      <c r="I1" t="s">
        <v>69</v>
      </c>
      <c r="K1" t="s">
        <v>70</v>
      </c>
      <c r="M1" t="s">
        <v>71</v>
      </c>
    </row>
    <row r="2" spans="1:13" x14ac:dyDescent="0.35">
      <c r="A2" t="s">
        <v>66</v>
      </c>
      <c r="B2" t="s">
        <v>72</v>
      </c>
      <c r="C2" t="s">
        <v>72</v>
      </c>
    </row>
    <row r="3" spans="1:13" x14ac:dyDescent="0.35">
      <c r="A3" t="s">
        <v>67</v>
      </c>
      <c r="B3" t="s">
        <v>72</v>
      </c>
      <c r="C3" t="s">
        <v>72</v>
      </c>
      <c r="D3" t="s">
        <v>72</v>
      </c>
      <c r="E3" t="s">
        <v>72</v>
      </c>
    </row>
    <row r="4" spans="1:13" x14ac:dyDescent="0.35">
      <c r="A4" t="s">
        <v>68</v>
      </c>
      <c r="B4" t="s">
        <v>72</v>
      </c>
      <c r="C4" t="s">
        <v>72</v>
      </c>
      <c r="D4" t="s">
        <v>72</v>
      </c>
      <c r="E4" t="s">
        <v>72</v>
      </c>
      <c r="F4" t="s">
        <v>72</v>
      </c>
      <c r="G4" t="s">
        <v>72</v>
      </c>
    </row>
    <row r="5" spans="1:13" x14ac:dyDescent="0.35">
      <c r="A5" t="s">
        <v>69</v>
      </c>
      <c r="B5" t="s">
        <v>72</v>
      </c>
      <c r="C5" t="s">
        <v>72</v>
      </c>
      <c r="D5" t="s">
        <v>72</v>
      </c>
      <c r="E5" t="s">
        <v>72</v>
      </c>
      <c r="F5" t="s">
        <v>72</v>
      </c>
      <c r="G5" t="s">
        <v>72</v>
      </c>
      <c r="H5" t="s">
        <v>72</v>
      </c>
      <c r="I5" t="s">
        <v>72</v>
      </c>
    </row>
    <row r="6" spans="1:13" x14ac:dyDescent="0.35">
      <c r="A6" t="s">
        <v>70</v>
      </c>
      <c r="B6" t="s">
        <v>72</v>
      </c>
      <c r="C6" t="s">
        <v>72</v>
      </c>
      <c r="D6" t="s">
        <v>72</v>
      </c>
      <c r="E6" t="s">
        <v>72</v>
      </c>
      <c r="F6" t="s">
        <v>72</v>
      </c>
      <c r="G6" t="s">
        <v>72</v>
      </c>
      <c r="H6" t="s">
        <v>72</v>
      </c>
      <c r="I6" t="s">
        <v>72</v>
      </c>
      <c r="J6" t="s">
        <v>72</v>
      </c>
      <c r="K6" t="s">
        <v>72</v>
      </c>
    </row>
    <row r="7" spans="1:13" x14ac:dyDescent="0.35">
      <c r="A7" t="s">
        <v>71</v>
      </c>
      <c r="B7" t="s">
        <v>72</v>
      </c>
      <c r="C7" t="s">
        <v>72</v>
      </c>
      <c r="D7" t="s">
        <v>72</v>
      </c>
      <c r="E7" t="s">
        <v>72</v>
      </c>
      <c r="F7" t="s">
        <v>72</v>
      </c>
      <c r="G7" t="s">
        <v>72</v>
      </c>
      <c r="H7" t="s">
        <v>72</v>
      </c>
      <c r="I7" t="s">
        <v>72</v>
      </c>
      <c r="J7" t="s">
        <v>72</v>
      </c>
      <c r="K7" t="s">
        <v>72</v>
      </c>
      <c r="L7" t="s">
        <v>72</v>
      </c>
      <c r="M7" t="s">
        <v>72</v>
      </c>
    </row>
    <row r="10" spans="1:13" x14ac:dyDescent="0.35">
      <c r="A10" t="s">
        <v>73</v>
      </c>
      <c r="B10" t="s">
        <v>66</v>
      </c>
      <c r="C10" t="s">
        <v>67</v>
      </c>
      <c r="D10" t="s">
        <v>68</v>
      </c>
      <c r="E10" t="s">
        <v>69</v>
      </c>
      <c r="F10" t="s">
        <v>70</v>
      </c>
      <c r="G10" t="s">
        <v>71</v>
      </c>
    </row>
    <row r="11" spans="1:13" x14ac:dyDescent="0.35">
      <c r="A11" t="s">
        <v>74</v>
      </c>
      <c r="B11">
        <f xml:space="preserve"> 0 + IF(D2="",0,1)+ IF(F2="",0,1)+ IF(H2="",0,1)+ IF(J2="",0,1)+ IF(L2="",0,1)</f>
        <v>0</v>
      </c>
      <c r="C11">
        <f xml:space="preserve"> 0 + IF(F3="",0,1)+ IF(H3="",0,1)+ IF(J3="",0,1)+ IF(L3="",0,1)+ IF(E2="",0,1)</f>
        <v>0</v>
      </c>
      <c r="D11">
        <f xml:space="preserve"> 0 + IF(H4="",0,1)+ IF(J4="",0,1)+ IF(L4="",0,1)+ IF(G2="",0,1)+ IF(G3="",0,1)</f>
        <v>0</v>
      </c>
      <c r="E11">
        <f xml:space="preserve"> 0 + IF(J5="",0,1)+ IF(L5="",0,1)+ IF(I2="",0,1)+ IF(I3="",0,1)+ IF(I4="",0,1)</f>
        <v>0</v>
      </c>
      <c r="F11">
        <f xml:space="preserve"> 0 + IF(L6="",0,1)+ IF(K2="",0,1)+ IF(K3="",0,1)+ IF(K4="",0,1)+ IF(K5="",0,1)</f>
        <v>0</v>
      </c>
      <c r="G11">
        <f xml:space="preserve"> 0 + IF(M2="",0,1)+ IF(M3="",0,1)+ IF(M4="",0,1)+ IF(M5="",0,1)+ IF(M6="",0,1)</f>
        <v>0</v>
      </c>
    </row>
    <row r="12" spans="1:13" x14ac:dyDescent="0.35">
      <c r="A12" t="s">
        <v>75</v>
      </c>
      <c r="B12">
        <f xml:space="preserve"> 0 + IF(D2&gt;E2,1,0)+ IF(F2&gt;G2,1,0)+ IF(H2&gt;I2,1,0)+ IF(J2&gt;K2,1,0)+ IF(L2&gt;M2,1,0)</f>
        <v>0</v>
      </c>
      <c r="C12">
        <f xml:space="preserve"> 0 + IF(F3&gt;G3,1,0)+ IF(H3&gt;I3,1,0)+ IF(J3&gt;K3,1,0)+ IF(L3&gt;M3,1,0)+ IF(E2&gt;D2,1,0)</f>
        <v>0</v>
      </c>
      <c r="D12">
        <f xml:space="preserve"> 0 + IF(H4&gt;I4,1,0)+ IF(J4&gt;K4,1,0)+ IF(L4&gt;M4,1,0)+ IF(G2&gt;F2,1,0)+ IF(G3&gt;F3,1,0)</f>
        <v>0</v>
      </c>
      <c r="E12">
        <f xml:space="preserve"> 0 + IF(J5&gt;K5,1,0)+ IF(L5&gt;M5,1,0)+ IF(I2&gt;H2,1,0)+ IF(I3&gt;H3,1,0)+ IF(I4&gt;H4,1,0)</f>
        <v>0</v>
      </c>
      <c r="F12">
        <f xml:space="preserve"> 0 + IF(L6&gt;M6,1,0)+ IF(K2&gt;J2,1,0)+ IF(K3&gt;J3,1,0)+ IF(K4&gt;J4,1,0)+ IF(K5&gt;J5,1,0)</f>
        <v>0</v>
      </c>
      <c r="G12">
        <f xml:space="preserve"> 0 + IF(M2&gt;L2,1,0)+ IF(M3&gt;L3,1,0)+ IF(M4&gt;L4,1,0)+ IF(M5&gt;L5,1,0)+ IF(M6&gt;L6,1,0)</f>
        <v>0</v>
      </c>
    </row>
    <row r="13" spans="1:13" x14ac:dyDescent="0.35">
      <c r="A13" t="s">
        <v>76</v>
      </c>
      <c r="B13">
        <f xml:space="preserve"> 0 + IF(D2="",0,1)*IF(D2=E2,1,0)+ IF(F2="",0,1)*IF(F2=G2,1,0)+ IF(H2="",0,1)*IF(H2=I2,1,0)+ IF(J2="",0,1)*IF(J2=K2,1,0)+ IF(L2="",0,1)*IF(L2=M2,1,0)</f>
        <v>0</v>
      </c>
      <c r="C13">
        <f xml:space="preserve"> 0 + IF(F3="",0,1)*IF(F3=G3,1,0)+ IF(H3="",0,1)*IF(H3=I3,1,0)+ IF(J3="",0,1)*IF(J3=K3,1,0)+ IF(L3="",0,1)*IF(L3=M3,1,0)+ IF(E2="",0,1)*IF(E2=D2,1,0)</f>
        <v>0</v>
      </c>
      <c r="D13">
        <f xml:space="preserve"> 0 + IF(H4="",0,1)*IF(H4=I4,1,0)+ IF(J4="",0,1)*IF(J4=K4,1,0)+ IF(L4="",0,1)*IF(L4=M4,1,0)+ IF(G2="",0,1)*IF(G2=F2,1,0)+ IF(G3="",0,1)*IF(G3=F3,1,0)</f>
        <v>0</v>
      </c>
      <c r="E13">
        <f xml:space="preserve"> 0 + IF(J5="",0,1)*IF(J5=K5,1,0)+ IF(L5="",0,1)*IF(L5=M5,1,0)+ IF(I2="",0,1)*IF(I2=H2,1,0)+ IF(I3="",0,1)*IF(I3=H3,1,0)+ IF(I4="",0,1)*IF(I4=H4,1,0)</f>
        <v>0</v>
      </c>
      <c r="F13">
        <f xml:space="preserve"> 0 + IF(L6="",0,1)*IF(L6=M6,1,0)+ IF(K2="",0,1)*IF(K2=J2,1,0)+ IF(K3="",0,1)*IF(K3=J3,1,0)+ IF(K4="",0,1)*IF(K4=J4,1,0)+ IF(K5="",0,1)*IF(K5=J5,1,0)</f>
        <v>0</v>
      </c>
      <c r="G13">
        <f xml:space="preserve"> 0 + IF(M2="",0,1)*IF(M2=L2,1,0)+ IF(M3="",0,1)*IF(M3=L3,1,0)+ IF(M4="",0,1)*IF(M4=L4,1,0)+ IF(M5="",0,1)*IF(M5=L5,1,0)+ IF(M6="",0,1)*IF(M6=L6,1,0)</f>
        <v>0</v>
      </c>
    </row>
    <row r="14" spans="1:13" x14ac:dyDescent="0.35">
      <c r="A14" t="s">
        <v>77</v>
      </c>
      <c r="B14">
        <f xml:space="preserve"> 0 + IF(D2&lt;E2,1,0)+ IF(F2&lt;G2,1,0)+ IF(H2&lt;I2,1,0)+ IF(J2&lt;K2,1,0)+ IF(L2&lt;M2,1,0)</f>
        <v>0</v>
      </c>
      <c r="C14">
        <f xml:space="preserve"> 0 + IF(F3&lt;G3,1,0)+ IF(H3&lt;I3,1,0)+ IF(J3&lt;K3,1,0)+ IF(L3&lt;M3,1,0)+ IF(E2&lt;D2,1,0)</f>
        <v>0</v>
      </c>
      <c r="D14">
        <f xml:space="preserve"> 0 + IF(H4&lt;I4,1,0)+ IF(J4&lt;K4,1,0)+ IF(L4&lt;M4,1,0)+ IF(G2&lt;F2,1,0)+ IF(G3&lt;F3,1,0)</f>
        <v>0</v>
      </c>
      <c r="E14">
        <f xml:space="preserve"> 0 + IF(J5&lt;K5,1,0)+ IF(L5&lt;M5,1,0)+ IF(I2&lt;H2,1,0)+ IF(I3&lt;H3,1,0)+ IF(I4&lt;H4,1,0)</f>
        <v>0</v>
      </c>
      <c r="F14">
        <f xml:space="preserve"> 0 + IF(L6&lt;M6,1,0)+ IF(K2&lt;J2,1,0)+ IF(K3&lt;J3,1,0)+ IF(K4&lt;J4,1,0)+ IF(K5&lt;J5,1,0)</f>
        <v>0</v>
      </c>
      <c r="G14">
        <f xml:space="preserve"> 0 + IF(M2&lt;L2,1,0)+ IF(M3&lt;L3,1,0)+ IF(M4&lt;L4,1,0)+ IF(M5&lt;L5,1,0)+ IF(M6&lt;L6,1,0)</f>
        <v>0</v>
      </c>
    </row>
    <row r="15" spans="1:13" x14ac:dyDescent="0.35">
      <c r="A15" t="s">
        <v>78</v>
      </c>
      <c r="B15">
        <f xml:space="preserve"> 0 + IF(D2="",0,D2)+ IF(F2="",0,F2)+ IF(H2="",0,H2)+ IF(J2="",0,J2)+ IF(L2="",0,L2)</f>
        <v>0</v>
      </c>
      <c r="C15">
        <f xml:space="preserve"> 0 + IF(F3="",0,F3)+ IF(H3="",0,H3)+ IF(J3="",0,J3)+ IF(L3="",0,L3)+ IF(E2="",0,E2)</f>
        <v>0</v>
      </c>
      <c r="D15">
        <f xml:space="preserve"> 0 + IF(H4="",0,H4)+ IF(J4="",0,J4)+ IF(L4="",0,L4)+ IF(G2="",0,G2)+ IF(G3="",0,G3)</f>
        <v>0</v>
      </c>
      <c r="E15">
        <f xml:space="preserve"> 0 + IF(J5="",0,J5)+ IF(L5="",0,L5)+ IF(I2="",0,I2)+ IF(I3="",0,I3)+ IF(I4="",0,I4)</f>
        <v>0</v>
      </c>
      <c r="F15">
        <f xml:space="preserve"> 0 + IF(L6="",0,L6)+ IF(K2="",0,K2)+ IF(K3="",0,K3)+ IF(K4="",0,K4)+ IF(K5="",0,K5)</f>
        <v>0</v>
      </c>
      <c r="G15">
        <f xml:space="preserve"> 0 + IF(M2="",0,M2)+ IF(M3="",0,M3)+ IF(M4="",0,M4)+ IF(M5="",0,M5)+ IF(M6="",0,M6)</f>
        <v>0</v>
      </c>
    </row>
    <row r="16" spans="1:13" x14ac:dyDescent="0.35">
      <c r="A16" t="s">
        <v>79</v>
      </c>
      <c r="B16">
        <f xml:space="preserve"> 0 + IF(E2="",0,E2)+ IF(G2="",0,G2)+ IF(I2="",0,I2)+ IF(K2="",0,K2)+ IF(M2="",0,M2)</f>
        <v>0</v>
      </c>
      <c r="C16">
        <f xml:space="preserve"> 0 + IF(G3="",0,G3)+ IF(I3="",0,I3)+ IF(K3="",0,K3)+ IF(M3="",0,M3)+ IF(D2="",0,D2)</f>
        <v>0</v>
      </c>
      <c r="D16">
        <f xml:space="preserve"> 0 + IF(I4="",0,I4)+ IF(K4="",0,K4)+ IF(M4="",0,M4)+ IF(F2="",0,F2)+ IF(F3="",0,F3)</f>
        <v>0</v>
      </c>
      <c r="E16">
        <f xml:space="preserve"> 0 + IF(K5="",0,K5)+ IF(M5="",0,M5)+ IF(H2="",0,H2)+ IF(H3="",0,H3)+ IF(H4="",0,H4)</f>
        <v>0</v>
      </c>
      <c r="F16">
        <f xml:space="preserve"> 0 + IF(M6="",0,M6)+ IF(J2="",0,J2)+ IF(J3="",0,J3)+ IF(J4="",0,J4)+ IF(J5="",0,J5)</f>
        <v>0</v>
      </c>
      <c r="G16">
        <f xml:space="preserve"> 0 + IF(L2="",0,L2)+ IF(L3="",0,L3)+ IF(L4="",0,L4)+ IF(L5="",0,L5)+ IF(L6="",0,L6)</f>
        <v>0</v>
      </c>
    </row>
    <row r="17" spans="1:7" x14ac:dyDescent="0.35">
      <c r="A17" t="s">
        <v>80</v>
      </c>
      <c r="B17">
        <f t="shared" ref="B17:G17" si="0">B15-B16</f>
        <v>0</v>
      </c>
      <c r="C17">
        <f t="shared" si="0"/>
        <v>0</v>
      </c>
      <c r="D17">
        <f t="shared" si="0"/>
        <v>0</v>
      </c>
      <c r="E17">
        <f t="shared" si="0"/>
        <v>0</v>
      </c>
      <c r="F17">
        <f t="shared" si="0"/>
        <v>0</v>
      </c>
      <c r="G17">
        <f t="shared" si="0"/>
        <v>0</v>
      </c>
    </row>
    <row r="18" spans="1:7" x14ac:dyDescent="0.35">
      <c r="A18" t="s">
        <v>81</v>
      </c>
      <c r="B18">
        <f t="shared" ref="B18:G18" si="1">4*B12+2*B13+B14</f>
        <v>0</v>
      </c>
      <c r="C18">
        <f t="shared" si="1"/>
        <v>0</v>
      </c>
      <c r="D18">
        <f t="shared" si="1"/>
        <v>0</v>
      </c>
      <c r="E18">
        <f t="shared" si="1"/>
        <v>0</v>
      </c>
      <c r="F18">
        <f t="shared" si="1"/>
        <v>0</v>
      </c>
      <c r="G18">
        <f t="shared" si="1"/>
        <v>0</v>
      </c>
    </row>
    <row r="19" spans="1:7" x14ac:dyDescent="0.35">
      <c r="A19" t="s">
        <v>82</v>
      </c>
      <c r="B19">
        <f>RANK(B18,B18:G18,0)</f>
        <v>1</v>
      </c>
      <c r="C19">
        <f>RANK(C18,B18:G18,0)</f>
        <v>1</v>
      </c>
      <c r="D19">
        <f>RANK(D18,B18:G18,0)</f>
        <v>1</v>
      </c>
      <c r="E19">
        <f>RANK(E18,B18:G18,0)</f>
        <v>1</v>
      </c>
      <c r="F19">
        <f>RANK(F18,B18:G18,0)</f>
        <v>1</v>
      </c>
      <c r="G19">
        <f>RANK(G18,B18:G18,0)</f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D6030-C4D7-4586-89E7-3E5261951F9D}">
  <dimension ref="A1:I17"/>
  <sheetViews>
    <sheetView workbookViewId="0">
      <selection activeCell="M15" sqref="M15"/>
    </sheetView>
  </sheetViews>
  <sheetFormatPr baseColWidth="10" defaultRowHeight="14.5" x14ac:dyDescent="0.35"/>
  <cols>
    <col min="1" max="1" width="9.36328125" bestFit="1" customWidth="1"/>
    <col min="2" max="9" width="7.1796875" customWidth="1"/>
  </cols>
  <sheetData>
    <row r="1" spans="1:9" x14ac:dyDescent="0.35">
      <c r="C1" t="s">
        <v>83</v>
      </c>
      <c r="E1" t="s">
        <v>69</v>
      </c>
      <c r="G1" t="s">
        <v>90</v>
      </c>
      <c r="I1" t="s">
        <v>87</v>
      </c>
    </row>
    <row r="2" spans="1:9" x14ac:dyDescent="0.35">
      <c r="A2" t="s">
        <v>83</v>
      </c>
      <c r="B2" t="s">
        <v>72</v>
      </c>
      <c r="C2" t="s">
        <v>72</v>
      </c>
    </row>
    <row r="3" spans="1:9" x14ac:dyDescent="0.35">
      <c r="A3" t="s">
        <v>69</v>
      </c>
      <c r="B3" t="s">
        <v>72</v>
      </c>
      <c r="C3" t="s">
        <v>72</v>
      </c>
      <c r="D3" t="s">
        <v>72</v>
      </c>
      <c r="E3" t="s">
        <v>72</v>
      </c>
    </row>
    <row r="4" spans="1:9" x14ac:dyDescent="0.35">
      <c r="A4" t="s">
        <v>90</v>
      </c>
      <c r="B4" t="s">
        <v>72</v>
      </c>
      <c r="C4" t="s">
        <v>72</v>
      </c>
      <c r="D4" t="s">
        <v>72</v>
      </c>
      <c r="E4" t="s">
        <v>72</v>
      </c>
      <c r="F4" t="s">
        <v>72</v>
      </c>
      <c r="G4" t="s">
        <v>72</v>
      </c>
    </row>
    <row r="5" spans="1:9" x14ac:dyDescent="0.35">
      <c r="A5" t="s">
        <v>87</v>
      </c>
      <c r="B5" t="s">
        <v>72</v>
      </c>
      <c r="C5" t="s">
        <v>72</v>
      </c>
      <c r="D5" t="s">
        <v>72</v>
      </c>
      <c r="E5" t="s">
        <v>72</v>
      </c>
      <c r="F5" t="s">
        <v>72</v>
      </c>
      <c r="G5" t="s">
        <v>72</v>
      </c>
      <c r="H5" t="s">
        <v>72</v>
      </c>
      <c r="I5" t="s">
        <v>72</v>
      </c>
    </row>
    <row r="8" spans="1:9" x14ac:dyDescent="0.35">
      <c r="A8" t="s">
        <v>73</v>
      </c>
      <c r="B8" t="s">
        <v>83</v>
      </c>
      <c r="C8" t="s">
        <v>69</v>
      </c>
      <c r="D8" t="s">
        <v>90</v>
      </c>
      <c r="E8" t="s">
        <v>87</v>
      </c>
    </row>
    <row r="9" spans="1:9" x14ac:dyDescent="0.35">
      <c r="A9" t="s">
        <v>74</v>
      </c>
      <c r="B9">
        <f xml:space="preserve"> 0 + IF(D2="",0,1)+ IF(F2="",0,1)+ IF(H2="",0,1)</f>
        <v>0</v>
      </c>
      <c r="C9">
        <f xml:space="preserve"> 0 + IF(F3="",0,1)+ IF(H3="",0,1)+ IF(E2="",0,1)</f>
        <v>0</v>
      </c>
      <c r="D9">
        <f xml:space="preserve"> 0 + IF(H4="",0,1)+ IF(G2="",0,1)+ IF(G3="",0,1)</f>
        <v>0</v>
      </c>
      <c r="E9">
        <f xml:space="preserve"> 0 + IF(I2="",0,1)+ IF(I3="",0,1)+ IF(I4="",0,1)</f>
        <v>0</v>
      </c>
    </row>
    <row r="10" spans="1:9" x14ac:dyDescent="0.35">
      <c r="A10" t="s">
        <v>75</v>
      </c>
      <c r="B10">
        <f xml:space="preserve"> 0 + IF(D2&gt;E2,1,0)+ IF(F2&gt;G2,1,0)+ IF(H2&gt;I2,1,0)</f>
        <v>0</v>
      </c>
      <c r="C10">
        <f xml:space="preserve"> 0 + IF(F3&gt;G3,1,0)+ IF(H3&gt;I3,1,0)+ IF(E2&gt;D2,1,0)</f>
        <v>0</v>
      </c>
      <c r="D10">
        <f xml:space="preserve"> 0 + IF(H4&gt;I4,1,0)+ IF(G2&gt;F2,1,0)+ IF(G3&gt;F3,1,0)</f>
        <v>0</v>
      </c>
      <c r="E10">
        <f xml:space="preserve"> 0 + IF(I2&gt;H2,1,0)+ IF(I3&gt;H3,1,0)+ IF(I4&gt;H4,1,0)</f>
        <v>0</v>
      </c>
    </row>
    <row r="11" spans="1:9" x14ac:dyDescent="0.35">
      <c r="A11" t="s">
        <v>76</v>
      </c>
      <c r="B11">
        <f xml:space="preserve"> 0 + IF(D2="",0,1)*IF(D2=E2,1,0)+ IF(F2="",0,1)*IF(F2=G2,1,0)+ IF(H2="",0,1)*IF(H2=I2,1,0)</f>
        <v>0</v>
      </c>
      <c r="C11">
        <f xml:space="preserve"> 0 + IF(F3="",0,1)*IF(F3=G3,1,0)+ IF(H3="",0,1)*IF(H3=I3,1,0)+ IF(E2="",0,1)*IF(E2=D2,1,0)</f>
        <v>0</v>
      </c>
      <c r="D11">
        <f xml:space="preserve"> 0 + IF(H4="",0,1)*IF(H4=I4,1,0)+ IF(G2="",0,1)*IF(G2=F2,1,0)+ IF(G3="",0,1)*IF(G3=F3,1,0)</f>
        <v>0</v>
      </c>
      <c r="E11">
        <f xml:space="preserve"> 0 + IF(I2="",0,1)*IF(I2=H2,1,0)+ IF(I3="",0,1)*IF(I3=H3,1,0)+ IF(I4="",0,1)*IF(I4=H4,1,0)</f>
        <v>0</v>
      </c>
    </row>
    <row r="12" spans="1:9" x14ac:dyDescent="0.35">
      <c r="A12" t="s">
        <v>77</v>
      </c>
      <c r="B12">
        <f xml:space="preserve"> 0 + IF(D2&lt;E2,1,0)+ IF(F2&lt;G2,1,0)+ IF(H2&lt;I2,1,0)</f>
        <v>0</v>
      </c>
      <c r="C12">
        <f xml:space="preserve"> 0 + IF(F3&lt;G3,1,0)+ IF(H3&lt;I3,1,0)+ IF(E2&lt;D2,1,0)</f>
        <v>0</v>
      </c>
      <c r="D12">
        <f xml:space="preserve"> 0 + IF(H4&lt;I4,1,0)+ IF(G2&lt;F2,1,0)+ IF(G3&lt;F3,1,0)</f>
        <v>0</v>
      </c>
      <c r="E12">
        <f xml:space="preserve"> 0 + IF(I2&lt;H2,1,0)+ IF(I3&lt;H3,1,0)+ IF(I4&lt;H4,1,0)</f>
        <v>0</v>
      </c>
    </row>
    <row r="13" spans="1:9" x14ac:dyDescent="0.35">
      <c r="A13" t="s">
        <v>78</v>
      </c>
      <c r="B13">
        <f xml:space="preserve"> 0 + IF(D2="",0,D2)+ IF(F2="",0,F2)+ IF(H2="",0,H2)</f>
        <v>0</v>
      </c>
      <c r="C13">
        <f xml:space="preserve"> 0 + IF(F3="",0,F3)+ IF(H3="",0,H3)+ IF(E2="",0,E2)</f>
        <v>0</v>
      </c>
      <c r="D13">
        <f xml:space="preserve"> 0 + IF(H4="",0,H4)+ IF(G2="",0,G2)+ IF(G3="",0,G3)</f>
        <v>0</v>
      </c>
      <c r="E13">
        <f xml:space="preserve"> 0 + IF(I2="",0,I2)+ IF(I3="",0,I3)+ IF(I4="",0,I4)</f>
        <v>0</v>
      </c>
    </row>
    <row r="14" spans="1:9" x14ac:dyDescent="0.35">
      <c r="A14" t="s">
        <v>79</v>
      </c>
      <c r="B14">
        <f xml:space="preserve"> 0 + IF(E2="",0,E2)+ IF(G2="",0,G2)+ IF(I2="",0,I2)</f>
        <v>0</v>
      </c>
      <c r="C14">
        <f xml:space="preserve"> 0 + IF(G3="",0,G3)+ IF(I3="",0,I3)+ IF(D2="",0,D2)</f>
        <v>0</v>
      </c>
      <c r="D14">
        <f xml:space="preserve"> 0 + IF(I4="",0,I4)+ IF(F2="",0,F2)+ IF(F3="",0,F3)</f>
        <v>0</v>
      </c>
      <c r="E14">
        <f xml:space="preserve"> 0 + IF(H2="",0,H2)+ IF(H3="",0,H3)+ IF(H4="",0,H4)</f>
        <v>0</v>
      </c>
    </row>
    <row r="15" spans="1:9" x14ac:dyDescent="0.35">
      <c r="A15" t="s">
        <v>80</v>
      </c>
      <c r="B15">
        <f>B13-B14</f>
        <v>0</v>
      </c>
      <c r="C15">
        <f>C13-C14</f>
        <v>0</v>
      </c>
      <c r="D15">
        <f>D13-D14</f>
        <v>0</v>
      </c>
      <c r="E15">
        <f>E13-E14</f>
        <v>0</v>
      </c>
    </row>
    <row r="16" spans="1:9" x14ac:dyDescent="0.35">
      <c r="A16" t="s">
        <v>81</v>
      </c>
      <c r="B16">
        <f>4*B10+2*B11+B12</f>
        <v>0</v>
      </c>
      <c r="C16">
        <f>4*C10+2*C11+C12</f>
        <v>0</v>
      </c>
      <c r="D16">
        <f>4*D10+2*D11+D12</f>
        <v>0</v>
      </c>
      <c r="E16">
        <f>4*E10+2*E11+E12</f>
        <v>0</v>
      </c>
    </row>
    <row r="17" spans="1:5" x14ac:dyDescent="0.35">
      <c r="A17" t="s">
        <v>82</v>
      </c>
      <c r="B17">
        <f>RANK(B16,B16:E16,0)</f>
        <v>1</v>
      </c>
      <c r="C17">
        <f>RANK(C16,B16:E16,0)</f>
        <v>1</v>
      </c>
      <c r="D17">
        <f>RANK(D16,B16:E16,0)</f>
        <v>1</v>
      </c>
      <c r="E17">
        <f>RANK(E16,B16:E16,0)</f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BEC4A-B189-481B-A23C-8FBF3FAB1A30}">
  <dimension ref="A1:I17"/>
  <sheetViews>
    <sheetView workbookViewId="0">
      <selection activeCell="L11" sqref="L11"/>
    </sheetView>
  </sheetViews>
  <sheetFormatPr baseColWidth="10" defaultRowHeight="14.5" x14ac:dyDescent="0.35"/>
  <cols>
    <col min="1" max="1" width="9.36328125" bestFit="1" customWidth="1"/>
    <col min="2" max="9" width="8.453125" customWidth="1"/>
  </cols>
  <sheetData>
    <row r="1" spans="1:9" x14ac:dyDescent="0.35">
      <c r="C1" t="s">
        <v>88</v>
      </c>
      <c r="E1" t="s">
        <v>84</v>
      </c>
      <c r="G1" t="s">
        <v>91</v>
      </c>
      <c r="I1" t="s">
        <v>93</v>
      </c>
    </row>
    <row r="2" spans="1:9" x14ac:dyDescent="0.35">
      <c r="A2" t="s">
        <v>88</v>
      </c>
      <c r="B2" t="s">
        <v>72</v>
      </c>
      <c r="C2" t="s">
        <v>72</v>
      </c>
    </row>
    <row r="3" spans="1:9" x14ac:dyDescent="0.35">
      <c r="A3" t="s">
        <v>84</v>
      </c>
      <c r="B3" t="s">
        <v>72</v>
      </c>
      <c r="C3" t="s">
        <v>72</v>
      </c>
      <c r="D3" t="s">
        <v>72</v>
      </c>
      <c r="E3" t="s">
        <v>72</v>
      </c>
    </row>
    <row r="4" spans="1:9" x14ac:dyDescent="0.35">
      <c r="A4" t="s">
        <v>91</v>
      </c>
      <c r="B4" t="s">
        <v>72</v>
      </c>
      <c r="C4" t="s">
        <v>72</v>
      </c>
      <c r="D4" t="s">
        <v>72</v>
      </c>
      <c r="E4" t="s">
        <v>72</v>
      </c>
      <c r="F4" t="s">
        <v>72</v>
      </c>
      <c r="G4" t="s">
        <v>72</v>
      </c>
    </row>
    <row r="5" spans="1:9" x14ac:dyDescent="0.35">
      <c r="A5" t="s">
        <v>93</v>
      </c>
      <c r="B5" t="s">
        <v>72</v>
      </c>
      <c r="C5" t="s">
        <v>72</v>
      </c>
      <c r="D5" t="s">
        <v>72</v>
      </c>
      <c r="E5" t="s">
        <v>72</v>
      </c>
      <c r="F5" t="s">
        <v>72</v>
      </c>
      <c r="G5" t="s">
        <v>72</v>
      </c>
      <c r="H5" t="s">
        <v>72</v>
      </c>
      <c r="I5" t="s">
        <v>72</v>
      </c>
    </row>
    <row r="8" spans="1:9" x14ac:dyDescent="0.35">
      <c r="A8" t="s">
        <v>73</v>
      </c>
      <c r="B8" t="s">
        <v>88</v>
      </c>
      <c r="C8" t="s">
        <v>84</v>
      </c>
      <c r="D8" t="s">
        <v>91</v>
      </c>
      <c r="E8" t="s">
        <v>93</v>
      </c>
    </row>
    <row r="9" spans="1:9" x14ac:dyDescent="0.35">
      <c r="A9" t="s">
        <v>74</v>
      </c>
      <c r="B9">
        <f xml:space="preserve"> 0 + IF(D2="",0,1)+ IF(F2="",0,1)+ IF(H2="",0,1)</f>
        <v>0</v>
      </c>
      <c r="C9">
        <f xml:space="preserve"> 0 + IF(F3="",0,1)+ IF(H3="",0,1)+ IF(E2="",0,1)</f>
        <v>0</v>
      </c>
      <c r="D9">
        <f xml:space="preserve"> 0 + IF(H4="",0,1)+ IF(G2="",0,1)+ IF(G3="",0,1)</f>
        <v>0</v>
      </c>
      <c r="E9">
        <f xml:space="preserve"> 0 + IF(I2="",0,1)+ IF(I3="",0,1)+ IF(I4="",0,1)</f>
        <v>0</v>
      </c>
    </row>
    <row r="10" spans="1:9" x14ac:dyDescent="0.35">
      <c r="A10" t="s">
        <v>75</v>
      </c>
      <c r="B10">
        <f xml:space="preserve"> 0 + IF(D2&gt;E2,1,0)+ IF(F2&gt;G2,1,0)+ IF(H2&gt;I2,1,0)</f>
        <v>0</v>
      </c>
      <c r="C10">
        <f xml:space="preserve"> 0 + IF(F3&gt;G3,1,0)+ IF(H3&gt;I3,1,0)+ IF(E2&gt;D2,1,0)</f>
        <v>0</v>
      </c>
      <c r="D10">
        <f xml:space="preserve"> 0 + IF(H4&gt;I4,1,0)+ IF(G2&gt;F2,1,0)+ IF(G3&gt;F3,1,0)</f>
        <v>0</v>
      </c>
      <c r="E10">
        <f xml:space="preserve"> 0 + IF(I2&gt;H2,1,0)+ IF(I3&gt;H3,1,0)+ IF(I4&gt;H4,1,0)</f>
        <v>0</v>
      </c>
    </row>
    <row r="11" spans="1:9" x14ac:dyDescent="0.35">
      <c r="A11" t="s">
        <v>76</v>
      </c>
      <c r="B11">
        <f xml:space="preserve"> 0 + IF(D2="",0,1)*IF(D2=E2,1,0)+ IF(F2="",0,1)*IF(F2=G2,1,0)+ IF(H2="",0,1)*IF(H2=I2,1,0)</f>
        <v>0</v>
      </c>
      <c r="C11">
        <f xml:space="preserve"> 0 + IF(F3="",0,1)*IF(F3=G3,1,0)+ IF(H3="",0,1)*IF(H3=I3,1,0)+ IF(E2="",0,1)*IF(E2=D2,1,0)</f>
        <v>0</v>
      </c>
      <c r="D11">
        <f xml:space="preserve"> 0 + IF(H4="",0,1)*IF(H4=I4,1,0)+ IF(G2="",0,1)*IF(G2=F2,1,0)+ IF(G3="",0,1)*IF(G3=F3,1,0)</f>
        <v>0</v>
      </c>
      <c r="E11">
        <f xml:space="preserve"> 0 + IF(I2="",0,1)*IF(I2=H2,1,0)+ IF(I3="",0,1)*IF(I3=H3,1,0)+ IF(I4="",0,1)*IF(I4=H4,1,0)</f>
        <v>0</v>
      </c>
    </row>
    <row r="12" spans="1:9" x14ac:dyDescent="0.35">
      <c r="A12" t="s">
        <v>77</v>
      </c>
      <c r="B12">
        <f xml:space="preserve"> 0 + IF(D2&lt;E2,1,0)+ IF(F2&lt;G2,1,0)+ IF(H2&lt;I2,1,0)</f>
        <v>0</v>
      </c>
      <c r="C12">
        <f xml:space="preserve"> 0 + IF(F3&lt;G3,1,0)+ IF(H3&lt;I3,1,0)+ IF(E2&lt;D2,1,0)</f>
        <v>0</v>
      </c>
      <c r="D12">
        <f xml:space="preserve"> 0 + IF(H4&lt;I4,1,0)+ IF(G2&lt;F2,1,0)+ IF(G3&lt;F3,1,0)</f>
        <v>0</v>
      </c>
      <c r="E12">
        <f xml:space="preserve"> 0 + IF(I2&lt;H2,1,0)+ IF(I3&lt;H3,1,0)+ IF(I4&lt;H4,1,0)</f>
        <v>0</v>
      </c>
    </row>
    <row r="13" spans="1:9" x14ac:dyDescent="0.35">
      <c r="A13" t="s">
        <v>78</v>
      </c>
      <c r="B13">
        <f xml:space="preserve"> 0 + IF(D2="",0,D2)+ IF(F2="",0,F2)+ IF(H2="",0,H2)</f>
        <v>0</v>
      </c>
      <c r="C13">
        <f xml:space="preserve"> 0 + IF(F3="",0,F3)+ IF(H3="",0,H3)+ IF(E2="",0,E2)</f>
        <v>0</v>
      </c>
      <c r="D13">
        <f xml:space="preserve"> 0 + IF(H4="",0,H4)+ IF(G2="",0,G2)+ IF(G3="",0,G3)</f>
        <v>0</v>
      </c>
      <c r="E13">
        <f xml:space="preserve"> 0 + IF(I2="",0,I2)+ IF(I3="",0,I3)+ IF(I4="",0,I4)</f>
        <v>0</v>
      </c>
    </row>
    <row r="14" spans="1:9" x14ac:dyDescent="0.35">
      <c r="A14" t="s">
        <v>79</v>
      </c>
      <c r="B14">
        <f xml:space="preserve"> 0 + IF(E2="",0,E2)+ IF(G2="",0,G2)+ IF(I2="",0,I2)</f>
        <v>0</v>
      </c>
      <c r="C14">
        <f xml:space="preserve"> 0 + IF(G3="",0,G3)+ IF(I3="",0,I3)+ IF(D2="",0,D2)</f>
        <v>0</v>
      </c>
      <c r="D14">
        <f xml:space="preserve"> 0 + IF(I4="",0,I4)+ IF(F2="",0,F2)+ IF(F3="",0,F3)</f>
        <v>0</v>
      </c>
      <c r="E14">
        <f xml:space="preserve"> 0 + IF(H2="",0,H2)+ IF(H3="",0,H3)+ IF(H4="",0,H4)</f>
        <v>0</v>
      </c>
    </row>
    <row r="15" spans="1:9" x14ac:dyDescent="0.35">
      <c r="A15" t="s">
        <v>80</v>
      </c>
      <c r="B15">
        <f>B13-B14</f>
        <v>0</v>
      </c>
      <c r="C15">
        <f>C13-C14</f>
        <v>0</v>
      </c>
      <c r="D15">
        <f>D13-D14</f>
        <v>0</v>
      </c>
      <c r="E15">
        <f>E13-E14</f>
        <v>0</v>
      </c>
    </row>
    <row r="16" spans="1:9" x14ac:dyDescent="0.35">
      <c r="A16" t="s">
        <v>81</v>
      </c>
      <c r="B16">
        <f>4*B10+2*B11+B12</f>
        <v>0</v>
      </c>
      <c r="C16">
        <f>4*C10+2*C11+C12</f>
        <v>0</v>
      </c>
      <c r="D16">
        <f>4*D10+2*D11+D12</f>
        <v>0</v>
      </c>
      <c r="E16">
        <f>4*E10+2*E11+E12</f>
        <v>0</v>
      </c>
    </row>
    <row r="17" spans="1:5" x14ac:dyDescent="0.35">
      <c r="A17" t="s">
        <v>82</v>
      </c>
      <c r="B17">
        <f>RANK(B16,B16:E16,0)</f>
        <v>1</v>
      </c>
      <c r="C17">
        <f>RANK(C16,B16:E16,0)</f>
        <v>1</v>
      </c>
      <c r="D17">
        <f>RANK(D16,B16:E16,0)</f>
        <v>1</v>
      </c>
      <c r="E17">
        <f>RANK(E16,B16:E16,0)</f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9E2F5-607B-4728-8AFE-A6633D13DFC3}">
  <dimension ref="A1:I17"/>
  <sheetViews>
    <sheetView workbookViewId="0">
      <selection activeCell="L8" sqref="L8"/>
    </sheetView>
  </sheetViews>
  <sheetFormatPr baseColWidth="10" defaultRowHeight="14.5" x14ac:dyDescent="0.35"/>
  <cols>
    <col min="1" max="1" width="9.36328125" bestFit="1" customWidth="1"/>
    <col min="2" max="9" width="7.6328125" customWidth="1"/>
  </cols>
  <sheetData>
    <row r="1" spans="1:9" x14ac:dyDescent="0.35">
      <c r="C1" t="s">
        <v>89</v>
      </c>
      <c r="E1" t="s">
        <v>85</v>
      </c>
      <c r="G1" t="s">
        <v>86</v>
      </c>
      <c r="I1" t="s">
        <v>92</v>
      </c>
    </row>
    <row r="2" spans="1:9" x14ac:dyDescent="0.35">
      <c r="A2" t="s">
        <v>89</v>
      </c>
      <c r="B2" t="s">
        <v>72</v>
      </c>
      <c r="C2" t="s">
        <v>72</v>
      </c>
    </row>
    <row r="3" spans="1:9" x14ac:dyDescent="0.35">
      <c r="A3" t="s">
        <v>85</v>
      </c>
      <c r="B3" t="s">
        <v>72</v>
      </c>
      <c r="C3" t="s">
        <v>72</v>
      </c>
      <c r="D3" t="s">
        <v>72</v>
      </c>
      <c r="E3" t="s">
        <v>72</v>
      </c>
    </row>
    <row r="4" spans="1:9" x14ac:dyDescent="0.35">
      <c r="A4" t="s">
        <v>86</v>
      </c>
      <c r="B4" t="s">
        <v>72</v>
      </c>
      <c r="C4" t="s">
        <v>72</v>
      </c>
      <c r="D4" t="s">
        <v>72</v>
      </c>
      <c r="E4" t="s">
        <v>72</v>
      </c>
      <c r="F4" t="s">
        <v>72</v>
      </c>
      <c r="G4" t="s">
        <v>72</v>
      </c>
    </row>
    <row r="5" spans="1:9" x14ac:dyDescent="0.35">
      <c r="A5" t="s">
        <v>92</v>
      </c>
      <c r="B5" t="s">
        <v>72</v>
      </c>
      <c r="C5" t="s">
        <v>72</v>
      </c>
      <c r="D5" t="s">
        <v>72</v>
      </c>
      <c r="E5" t="s">
        <v>72</v>
      </c>
      <c r="F5" t="s">
        <v>72</v>
      </c>
      <c r="G5" t="s">
        <v>72</v>
      </c>
      <c r="H5" t="s">
        <v>72</v>
      </c>
      <c r="I5" t="s">
        <v>72</v>
      </c>
    </row>
    <row r="8" spans="1:9" x14ac:dyDescent="0.35">
      <c r="A8" t="s">
        <v>73</v>
      </c>
      <c r="B8" t="s">
        <v>89</v>
      </c>
      <c r="C8" t="s">
        <v>85</v>
      </c>
      <c r="D8" t="s">
        <v>86</v>
      </c>
      <c r="E8" t="s">
        <v>92</v>
      </c>
    </row>
    <row r="9" spans="1:9" x14ac:dyDescent="0.35">
      <c r="A9" t="s">
        <v>74</v>
      </c>
      <c r="B9">
        <f xml:space="preserve"> 0 + IF(D2="",0,1)+ IF(F2="",0,1)+ IF(H2="",0,1)</f>
        <v>0</v>
      </c>
      <c r="C9">
        <f xml:space="preserve"> 0 + IF(F3="",0,1)+ IF(H3="",0,1)+ IF(E2="",0,1)</f>
        <v>0</v>
      </c>
      <c r="D9">
        <f xml:space="preserve"> 0 + IF(H4="",0,1)+ IF(G2="",0,1)+ IF(G3="",0,1)</f>
        <v>0</v>
      </c>
      <c r="E9">
        <f xml:space="preserve"> 0 + IF(I2="",0,1)+ IF(I3="",0,1)+ IF(I4="",0,1)</f>
        <v>0</v>
      </c>
    </row>
    <row r="10" spans="1:9" x14ac:dyDescent="0.35">
      <c r="A10" t="s">
        <v>75</v>
      </c>
      <c r="B10">
        <f xml:space="preserve"> 0 + IF(D2&gt;E2,1,0)+ IF(F2&gt;G2,1,0)+ IF(H2&gt;I2,1,0)</f>
        <v>0</v>
      </c>
      <c r="C10">
        <f xml:space="preserve"> 0 + IF(F3&gt;G3,1,0)+ IF(H3&gt;I3,1,0)+ IF(E2&gt;D2,1,0)</f>
        <v>0</v>
      </c>
      <c r="D10">
        <f xml:space="preserve"> 0 + IF(H4&gt;I4,1,0)+ IF(G2&gt;F2,1,0)+ IF(G3&gt;F3,1,0)</f>
        <v>0</v>
      </c>
      <c r="E10">
        <f xml:space="preserve"> 0 + IF(I2&gt;H2,1,0)+ IF(I3&gt;H3,1,0)+ IF(I4&gt;H4,1,0)</f>
        <v>0</v>
      </c>
    </row>
    <row r="11" spans="1:9" x14ac:dyDescent="0.35">
      <c r="A11" t="s">
        <v>76</v>
      </c>
      <c r="B11">
        <f xml:space="preserve"> 0 + IF(D2="",0,1)*IF(D2=E2,1,0)+ IF(F2="",0,1)*IF(F2=G2,1,0)+ IF(H2="",0,1)*IF(H2=I2,1,0)</f>
        <v>0</v>
      </c>
      <c r="C11">
        <f xml:space="preserve"> 0 + IF(F3="",0,1)*IF(F3=G3,1,0)+ IF(H3="",0,1)*IF(H3=I3,1,0)+ IF(E2="",0,1)*IF(E2=D2,1,0)</f>
        <v>0</v>
      </c>
      <c r="D11">
        <f xml:space="preserve"> 0 + IF(H4="",0,1)*IF(H4=I4,1,0)+ IF(G2="",0,1)*IF(G2=F2,1,0)+ IF(G3="",0,1)*IF(G3=F3,1,0)</f>
        <v>0</v>
      </c>
      <c r="E11">
        <f xml:space="preserve"> 0 + IF(I2="",0,1)*IF(I2=H2,1,0)+ IF(I3="",0,1)*IF(I3=H3,1,0)+ IF(I4="",0,1)*IF(I4=H4,1,0)</f>
        <v>0</v>
      </c>
    </row>
    <row r="12" spans="1:9" x14ac:dyDescent="0.35">
      <c r="A12" t="s">
        <v>77</v>
      </c>
      <c r="B12">
        <f xml:space="preserve"> 0 + IF(D2&lt;E2,1,0)+ IF(F2&lt;G2,1,0)+ IF(H2&lt;I2,1,0)</f>
        <v>0</v>
      </c>
      <c r="C12">
        <f xml:space="preserve"> 0 + IF(F3&lt;G3,1,0)+ IF(H3&lt;I3,1,0)+ IF(E2&lt;D2,1,0)</f>
        <v>0</v>
      </c>
      <c r="D12">
        <f xml:space="preserve"> 0 + IF(H4&lt;I4,1,0)+ IF(G2&lt;F2,1,0)+ IF(G3&lt;F3,1,0)</f>
        <v>0</v>
      </c>
      <c r="E12">
        <f xml:space="preserve"> 0 + IF(I2&lt;H2,1,0)+ IF(I3&lt;H3,1,0)+ IF(I4&lt;H4,1,0)</f>
        <v>0</v>
      </c>
    </row>
    <row r="13" spans="1:9" x14ac:dyDescent="0.35">
      <c r="A13" t="s">
        <v>78</v>
      </c>
      <c r="B13">
        <f xml:space="preserve"> 0 + IF(D2="",0,D2)+ IF(F2="",0,F2)+ IF(H2="",0,H2)</f>
        <v>0</v>
      </c>
      <c r="C13">
        <f xml:space="preserve"> 0 + IF(F3="",0,F3)+ IF(H3="",0,H3)+ IF(E2="",0,E2)</f>
        <v>0</v>
      </c>
      <c r="D13">
        <f xml:space="preserve"> 0 + IF(H4="",0,H4)+ IF(G2="",0,G2)+ IF(G3="",0,G3)</f>
        <v>0</v>
      </c>
      <c r="E13">
        <f xml:space="preserve"> 0 + IF(I2="",0,I2)+ IF(I3="",0,I3)+ IF(I4="",0,I4)</f>
        <v>0</v>
      </c>
    </row>
    <row r="14" spans="1:9" x14ac:dyDescent="0.35">
      <c r="A14" t="s">
        <v>79</v>
      </c>
      <c r="B14">
        <f xml:space="preserve"> 0 + IF(E2="",0,E2)+ IF(G2="",0,G2)+ IF(I2="",0,I2)</f>
        <v>0</v>
      </c>
      <c r="C14">
        <f xml:space="preserve"> 0 + IF(G3="",0,G3)+ IF(I3="",0,I3)+ IF(D2="",0,D2)</f>
        <v>0</v>
      </c>
      <c r="D14">
        <f xml:space="preserve"> 0 + IF(I4="",0,I4)+ IF(F2="",0,F2)+ IF(F3="",0,F3)</f>
        <v>0</v>
      </c>
      <c r="E14">
        <f xml:space="preserve"> 0 + IF(H2="",0,H2)+ IF(H3="",0,H3)+ IF(H4="",0,H4)</f>
        <v>0</v>
      </c>
    </row>
    <row r="15" spans="1:9" x14ac:dyDescent="0.35">
      <c r="A15" t="s">
        <v>80</v>
      </c>
      <c r="B15">
        <f>B13-B14</f>
        <v>0</v>
      </c>
      <c r="C15">
        <f>C13-C14</f>
        <v>0</v>
      </c>
      <c r="D15">
        <f>D13-D14</f>
        <v>0</v>
      </c>
      <c r="E15">
        <f>E13-E14</f>
        <v>0</v>
      </c>
    </row>
    <row r="16" spans="1:9" x14ac:dyDescent="0.35">
      <c r="A16" t="s">
        <v>81</v>
      </c>
      <c r="B16">
        <f>4*B10+2*B11+B12</f>
        <v>0</v>
      </c>
      <c r="C16">
        <f>4*C10+2*C11+C12</f>
        <v>0</v>
      </c>
      <c r="D16">
        <f>4*D10+2*D11+D12</f>
        <v>0</v>
      </c>
      <c r="E16">
        <f>4*E10+2*E11+E12</f>
        <v>0</v>
      </c>
    </row>
    <row r="17" spans="1:5" x14ac:dyDescent="0.35">
      <c r="A17" t="s">
        <v>82</v>
      </c>
      <c r="B17">
        <f>RANK(B16,B16:E16,0)</f>
        <v>1</v>
      </c>
      <c r="C17">
        <f>RANK(C16,B16:E16,0)</f>
        <v>1</v>
      </c>
      <c r="D17">
        <f>RANK(D16,B16:E16,0)</f>
        <v>1</v>
      </c>
      <c r="E17">
        <f>RANK(E16,B16:E16,0)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5</vt:i4>
      </vt:variant>
    </vt:vector>
  </HeadingPairs>
  <TitlesOfParts>
    <vt:vector size="11" baseType="lpstr">
      <vt:lpstr>chargement</vt:lpstr>
      <vt:lpstr>tableau.csv</vt:lpstr>
      <vt:lpstr>f_u11f.csv</vt:lpstr>
      <vt:lpstr>f_u11m_a.csv</vt:lpstr>
      <vt:lpstr>f_u11m_b.csv</vt:lpstr>
      <vt:lpstr>f_u11m_c.csv</vt:lpstr>
      <vt:lpstr>f_u11f.csv!f_u11f.csv</vt:lpstr>
      <vt:lpstr>f_u11m_a.csv!f_u11m_a.csv</vt:lpstr>
      <vt:lpstr>f_u11m_b.csv!f_u11m_b.csv</vt:lpstr>
      <vt:lpstr>f_u11m_c.csv!f_u11m_c.csv</vt:lpstr>
      <vt:lpstr>tableau.csv!tableau.csv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</dc:creator>
  <cp:lastModifiedBy>jj</cp:lastModifiedBy>
  <dcterms:created xsi:type="dcterms:W3CDTF">2019-06-05T22:30:10Z</dcterms:created>
  <dcterms:modified xsi:type="dcterms:W3CDTF">2023-05-18T19:09:55Z</dcterms:modified>
</cp:coreProperties>
</file>